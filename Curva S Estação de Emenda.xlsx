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drawings/drawing18.xml" ContentType="application/vnd.openxmlformats-officedocument.drawingml.chartshapes+xml"/>
  <Override PartName="/xl/tables/table7.xml" ContentType="application/vnd.openxmlformats-officedocument.spreadsheetml.table+xml"/>
  <Override PartName="/xl/drawings/drawing19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5d5185eff26b3a81/CONTRATO S11D/"/>
    </mc:Choice>
  </mc:AlternateContent>
  <xr:revisionPtr revIDLastSave="0" documentId="8_{9F3AB502-53DF-41AC-9857-C2066C88CB15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Curva S" sheetId="1" r:id="rId1"/>
    <sheet name="Indicadores Semanais" sheetId="10" r:id="rId2"/>
    <sheet name="Curva S Preparação" sheetId="5" r:id="rId3"/>
    <sheet name="Curva S Montagem" sheetId="6" r:id="rId4"/>
    <sheet name="Curva S Soldagem" sheetId="7" r:id="rId5"/>
    <sheet name="Curva S Acabamento" sheetId="8" r:id="rId6"/>
    <sheet name="Curva S Pintura" sheetId="9" r:id="rId7"/>
    <sheet name="Base Tarefas" sheetId="2" r:id="rId8"/>
    <sheet name="Resumo por Área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9" l="1"/>
  <c r="D32" i="8"/>
  <c r="D32" i="7"/>
  <c r="D32" i="5"/>
  <c r="D32" i="6"/>
  <c r="G41" i="9"/>
  <c r="D41" i="9"/>
  <c r="G40" i="9"/>
  <c r="D40" i="9"/>
  <c r="G39" i="9"/>
  <c r="D39" i="9"/>
  <c r="G38" i="9"/>
  <c r="D38" i="9"/>
  <c r="G37" i="9"/>
  <c r="D37" i="9"/>
  <c r="G36" i="9"/>
  <c r="D36" i="9"/>
  <c r="D28" i="9"/>
  <c r="H36" i="9" s="1"/>
  <c r="M4" i="9"/>
  <c r="M2" i="9"/>
  <c r="G41" i="8"/>
  <c r="D41" i="8"/>
  <c r="G40" i="8"/>
  <c r="D40" i="8"/>
  <c r="G39" i="8"/>
  <c r="D39" i="8"/>
  <c r="G38" i="8"/>
  <c r="D38" i="8"/>
  <c r="E38" i="8" s="1"/>
  <c r="G37" i="8"/>
  <c r="D37" i="8"/>
  <c r="E37" i="8" s="1"/>
  <c r="G36" i="8"/>
  <c r="D36" i="8"/>
  <c r="E36" i="8" s="1"/>
  <c r="D28" i="8"/>
  <c r="M4" i="8"/>
  <c r="M2" i="8"/>
  <c r="G41" i="7"/>
  <c r="D41" i="7"/>
  <c r="G40" i="7"/>
  <c r="D40" i="7"/>
  <c r="G39" i="7"/>
  <c r="D39" i="7"/>
  <c r="E39" i="7" s="1"/>
  <c r="G38" i="7"/>
  <c r="H38" i="7" s="1"/>
  <c r="D38" i="7"/>
  <c r="E38" i="7" s="1"/>
  <c r="G37" i="7"/>
  <c r="D37" i="7"/>
  <c r="E37" i="7" s="1"/>
  <c r="G36" i="7"/>
  <c r="D36" i="7"/>
  <c r="E36" i="7" s="1"/>
  <c r="D28" i="7"/>
  <c r="D30" i="7" s="1"/>
  <c r="M4" i="7"/>
  <c r="M2" i="7"/>
  <c r="G41" i="6"/>
  <c r="D41" i="6"/>
  <c r="G40" i="6"/>
  <c r="D40" i="6"/>
  <c r="G39" i="6"/>
  <c r="D39" i="6"/>
  <c r="E39" i="6" s="1"/>
  <c r="G38" i="6"/>
  <c r="H38" i="6" s="1"/>
  <c r="D38" i="6"/>
  <c r="E38" i="6" s="1"/>
  <c r="G37" i="6"/>
  <c r="D37" i="6"/>
  <c r="E37" i="6" s="1"/>
  <c r="G36" i="6"/>
  <c r="H36" i="6" s="1"/>
  <c r="D36" i="6"/>
  <c r="E36" i="6" s="1"/>
  <c r="D28" i="6"/>
  <c r="D30" i="6" s="1"/>
  <c r="M4" i="6"/>
  <c r="M2" i="6"/>
  <c r="D28" i="5"/>
  <c r="D30" i="5" s="1"/>
  <c r="D41" i="5"/>
  <c r="D39" i="5"/>
  <c r="G41" i="5"/>
  <c r="G40" i="5"/>
  <c r="G39" i="5"/>
  <c r="G38" i="5"/>
  <c r="G37" i="5"/>
  <c r="G36" i="5"/>
  <c r="D36" i="5"/>
  <c r="E36" i="9" l="1"/>
  <c r="N36" i="9" s="1"/>
  <c r="E39" i="9"/>
  <c r="H39" i="9"/>
  <c r="N39" i="9" s="1"/>
  <c r="E40" i="9"/>
  <c r="E37" i="9"/>
  <c r="I37" i="9"/>
  <c r="I38" i="9"/>
  <c r="H40" i="9"/>
  <c r="J40" i="9" s="1"/>
  <c r="I40" i="9"/>
  <c r="E41" i="9"/>
  <c r="I41" i="9"/>
  <c r="M36" i="9"/>
  <c r="K40" i="9"/>
  <c r="K39" i="9"/>
  <c r="M39" i="9"/>
  <c r="J39" i="9"/>
  <c r="H41" i="9"/>
  <c r="H37" i="9"/>
  <c r="I39" i="9"/>
  <c r="D30" i="9"/>
  <c r="E38" i="9"/>
  <c r="I36" i="9"/>
  <c r="H38" i="9"/>
  <c r="E40" i="8"/>
  <c r="M40" i="8" s="1"/>
  <c r="H39" i="8"/>
  <c r="M39" i="8" s="1"/>
  <c r="I41" i="8"/>
  <c r="I37" i="8"/>
  <c r="I36" i="8"/>
  <c r="E39" i="8"/>
  <c r="H40" i="8"/>
  <c r="I40" i="8"/>
  <c r="E41" i="8"/>
  <c r="I38" i="8"/>
  <c r="D30" i="8"/>
  <c r="H37" i="8"/>
  <c r="I39" i="8"/>
  <c r="H36" i="8"/>
  <c r="H41" i="8"/>
  <c r="H38" i="8"/>
  <c r="I36" i="7"/>
  <c r="I37" i="7"/>
  <c r="I39" i="7"/>
  <c r="I38" i="7"/>
  <c r="E41" i="7"/>
  <c r="I41" i="7"/>
  <c r="H39" i="7"/>
  <c r="J39" i="7" s="1"/>
  <c r="E40" i="7"/>
  <c r="H40" i="7"/>
  <c r="N40" i="7" s="1"/>
  <c r="N38" i="7"/>
  <c r="M38" i="7"/>
  <c r="K38" i="7"/>
  <c r="J38" i="7"/>
  <c r="I40" i="7"/>
  <c r="H37" i="7"/>
  <c r="H41" i="7"/>
  <c r="H36" i="7"/>
  <c r="H39" i="6"/>
  <c r="J39" i="6" s="1"/>
  <c r="I39" i="6"/>
  <c r="I37" i="6"/>
  <c r="I38" i="6"/>
  <c r="H40" i="6"/>
  <c r="I41" i="6"/>
  <c r="E40" i="6"/>
  <c r="M40" i="6" s="1"/>
  <c r="E41" i="6"/>
  <c r="J36" i="6"/>
  <c r="M36" i="6"/>
  <c r="K36" i="6"/>
  <c r="N36" i="6"/>
  <c r="J38" i="6"/>
  <c r="N38" i="6"/>
  <c r="M38" i="6"/>
  <c r="K38" i="6"/>
  <c r="N39" i="6"/>
  <c r="M39" i="6"/>
  <c r="I40" i="6"/>
  <c r="H37" i="6"/>
  <c r="H41" i="6"/>
  <c r="I36" i="6"/>
  <c r="E41" i="5"/>
  <c r="H41" i="5"/>
  <c r="H36" i="5"/>
  <c r="E39" i="5"/>
  <c r="D40" i="5"/>
  <c r="E40" i="5" s="1"/>
  <c r="D37" i="5"/>
  <c r="E37" i="5" s="1"/>
  <c r="D38" i="5"/>
  <c r="E38" i="5" s="1"/>
  <c r="I40" i="5"/>
  <c r="I41" i="5"/>
  <c r="I39" i="5"/>
  <c r="H39" i="5"/>
  <c r="H38" i="5"/>
  <c r="I36" i="5"/>
  <c r="E36" i="5"/>
  <c r="H37" i="5"/>
  <c r="H40" i="5"/>
  <c r="K39" i="7" l="1"/>
  <c r="M39" i="7"/>
  <c r="N39" i="7"/>
  <c r="K36" i="9"/>
  <c r="J36" i="9"/>
  <c r="N40" i="9"/>
  <c r="M40" i="9"/>
  <c r="N37" i="9"/>
  <c r="K37" i="9"/>
  <c r="J37" i="9"/>
  <c r="M37" i="9"/>
  <c r="M41" i="9"/>
  <c r="N41" i="9"/>
  <c r="K41" i="9"/>
  <c r="J41" i="9"/>
  <c r="M38" i="9"/>
  <c r="K38" i="9"/>
  <c r="N38" i="9"/>
  <c r="J38" i="9"/>
  <c r="J40" i="8"/>
  <c r="N39" i="8"/>
  <c r="J39" i="8"/>
  <c r="K39" i="8"/>
  <c r="K40" i="8"/>
  <c r="N40" i="8"/>
  <c r="N37" i="8"/>
  <c r="M37" i="8"/>
  <c r="K37" i="8"/>
  <c r="J37" i="8"/>
  <c r="N38" i="8"/>
  <c r="J38" i="8"/>
  <c r="M38" i="8"/>
  <c r="K38" i="8"/>
  <c r="J41" i="8"/>
  <c r="N41" i="8"/>
  <c r="M41" i="8"/>
  <c r="K41" i="8"/>
  <c r="K36" i="8"/>
  <c r="J36" i="8"/>
  <c r="N36" i="8"/>
  <c r="M36" i="8"/>
  <c r="J40" i="7"/>
  <c r="K40" i="7"/>
  <c r="M40" i="7"/>
  <c r="J36" i="7"/>
  <c r="K36" i="7"/>
  <c r="M36" i="7"/>
  <c r="N36" i="7"/>
  <c r="N37" i="7"/>
  <c r="M37" i="7"/>
  <c r="K37" i="7"/>
  <c r="J37" i="7"/>
  <c r="N41" i="7"/>
  <c r="K41" i="7"/>
  <c r="M41" i="7"/>
  <c r="J41" i="7"/>
  <c r="J40" i="6"/>
  <c r="K39" i="6"/>
  <c r="K40" i="6"/>
  <c r="N40" i="6"/>
  <c r="N41" i="6"/>
  <c r="K41" i="6"/>
  <c r="M41" i="6"/>
  <c r="J41" i="6"/>
  <c r="N37" i="6"/>
  <c r="M37" i="6"/>
  <c r="K37" i="6"/>
  <c r="J37" i="6"/>
  <c r="M41" i="5"/>
  <c r="K36" i="5"/>
  <c r="J41" i="5"/>
  <c r="K41" i="5"/>
  <c r="N41" i="5"/>
  <c r="I38" i="5"/>
  <c r="I37" i="5"/>
  <c r="N36" i="5"/>
  <c r="J36" i="5"/>
  <c r="M36" i="5"/>
  <c r="M39" i="5"/>
  <c r="K39" i="5"/>
  <c r="J39" i="5"/>
  <c r="N39" i="5"/>
  <c r="K40" i="5"/>
  <c r="N40" i="5"/>
  <c r="M40" i="5"/>
  <c r="J40" i="5"/>
  <c r="N37" i="5"/>
  <c r="J37" i="5"/>
  <c r="M37" i="5"/>
  <c r="K37" i="5"/>
  <c r="J38" i="5"/>
  <c r="N38" i="5"/>
  <c r="M38" i="5"/>
  <c r="K38" i="5"/>
  <c r="M4" i="5" l="1"/>
  <c r="M2" i="5" l="1"/>
  <c r="H30" i="2" l="1"/>
  <c r="H29" i="2"/>
  <c r="H21" i="2"/>
  <c r="H20" i="2"/>
  <c r="H19" i="2"/>
  <c r="H18" i="2"/>
  <c r="H17" i="2"/>
  <c r="H16" i="2"/>
  <c r="H15" i="2"/>
  <c r="H6" i="2" l="1"/>
  <c r="H5" i="2"/>
  <c r="H4" i="2"/>
  <c r="H3" i="2"/>
  <c r="M2" i="1" l="1"/>
  <c r="D29" i="1" l="1"/>
  <c r="G95" i="1" l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E96" i="1" s="1"/>
  <c r="D97" i="1"/>
  <c r="E97" i="1" s="1"/>
  <c r="D98" i="1"/>
  <c r="D99" i="1"/>
  <c r="E99" i="1" s="1"/>
  <c r="D100" i="1"/>
  <c r="E100" i="1" s="1"/>
  <c r="D101" i="1"/>
  <c r="E101" i="1" s="1"/>
  <c r="D102" i="1"/>
  <c r="D103" i="1"/>
  <c r="D104" i="1"/>
  <c r="E104" i="1" s="1"/>
  <c r="D105" i="1"/>
  <c r="E105" i="1" s="1"/>
  <c r="D106" i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D113" i="1"/>
  <c r="E113" i="1" s="1"/>
  <c r="D114" i="1"/>
  <c r="E114" i="1" s="1"/>
  <c r="D115" i="1"/>
  <c r="E115" i="1" s="1"/>
  <c r="B115" i="1"/>
  <c r="B113" i="1"/>
  <c r="B114" i="1" s="1"/>
  <c r="B108" i="1"/>
  <c r="B109" i="1"/>
  <c r="B110" i="1"/>
  <c r="B111" i="1" s="1"/>
  <c r="B112" i="1" s="1"/>
  <c r="B96" i="1"/>
  <c r="B97" i="1"/>
  <c r="B98" i="1"/>
  <c r="B99" i="1"/>
  <c r="B100" i="1" s="1"/>
  <c r="B101" i="1" s="1"/>
  <c r="B102" i="1" s="1"/>
  <c r="B103" i="1" s="1"/>
  <c r="B104" i="1" s="1"/>
  <c r="B105" i="1" s="1"/>
  <c r="B106" i="1" s="1"/>
  <c r="B107" i="1" s="1"/>
  <c r="I106" i="1" l="1"/>
  <c r="I112" i="1"/>
  <c r="I98" i="1"/>
  <c r="I103" i="1"/>
  <c r="I102" i="1"/>
  <c r="I114" i="1"/>
  <c r="M108" i="1"/>
  <c r="I96" i="1"/>
  <c r="E98" i="1"/>
  <c r="N98" i="1" s="1"/>
  <c r="E112" i="1"/>
  <c r="J112" i="1" s="1"/>
  <c r="I95" i="1"/>
  <c r="I111" i="1"/>
  <c r="E106" i="1"/>
  <c r="J106" i="1" s="1"/>
  <c r="E103" i="1"/>
  <c r="M103" i="1" s="1"/>
  <c r="J111" i="1"/>
  <c r="J110" i="1"/>
  <c r="E102" i="1"/>
  <c r="M102" i="1" s="1"/>
  <c r="I109" i="1"/>
  <c r="M109" i="1"/>
  <c r="N108" i="1"/>
  <c r="M101" i="1"/>
  <c r="I107" i="1"/>
  <c r="I99" i="1"/>
  <c r="I115" i="1"/>
  <c r="I110" i="1"/>
  <c r="H95" i="1"/>
  <c r="I113" i="1"/>
  <c r="H107" i="1"/>
  <c r="K107" i="1" s="1"/>
  <c r="I101" i="1"/>
  <c r="N110" i="1"/>
  <c r="J114" i="1"/>
  <c r="N109" i="1"/>
  <c r="J96" i="1"/>
  <c r="N113" i="1"/>
  <c r="K101" i="1"/>
  <c r="N99" i="1"/>
  <c r="N101" i="1"/>
  <c r="J115" i="1"/>
  <c r="J101" i="1"/>
  <c r="N105" i="1"/>
  <c r="J105" i="1"/>
  <c r="K105" i="1"/>
  <c r="N115" i="1"/>
  <c r="I105" i="1"/>
  <c r="M115" i="1"/>
  <c r="K113" i="1"/>
  <c r="K109" i="1"/>
  <c r="K99" i="1"/>
  <c r="M110" i="1"/>
  <c r="J113" i="1"/>
  <c r="J109" i="1"/>
  <c r="J99" i="1"/>
  <c r="J104" i="1"/>
  <c r="M104" i="1"/>
  <c r="N104" i="1"/>
  <c r="K104" i="1"/>
  <c r="M97" i="1"/>
  <c r="J97" i="1"/>
  <c r="N97" i="1"/>
  <c r="K97" i="1"/>
  <c r="J100" i="1"/>
  <c r="M100" i="1"/>
  <c r="N100" i="1"/>
  <c r="K100" i="1"/>
  <c r="M99" i="1"/>
  <c r="N114" i="1"/>
  <c r="M113" i="1"/>
  <c r="M105" i="1"/>
  <c r="K115" i="1"/>
  <c r="I104" i="1"/>
  <c r="I97" i="1"/>
  <c r="N96" i="1"/>
  <c r="M96" i="1"/>
  <c r="M114" i="1"/>
  <c r="N111" i="1"/>
  <c r="I100" i="1"/>
  <c r="K96" i="1"/>
  <c r="M111" i="1"/>
  <c r="K110" i="1"/>
  <c r="J108" i="1"/>
  <c r="K108" i="1"/>
  <c r="K111" i="1"/>
  <c r="K114" i="1"/>
  <c r="I108" i="1"/>
  <c r="J102" i="1" l="1"/>
  <c r="K102" i="1"/>
  <c r="N103" i="1"/>
  <c r="J103" i="1"/>
  <c r="K103" i="1"/>
  <c r="M106" i="1"/>
  <c r="M112" i="1"/>
  <c r="K112" i="1"/>
  <c r="N102" i="1"/>
  <c r="N112" i="1"/>
  <c r="M98" i="1"/>
  <c r="J98" i="1"/>
  <c r="K98" i="1"/>
  <c r="K106" i="1"/>
  <c r="N106" i="1"/>
  <c r="N107" i="1"/>
  <c r="M107" i="1"/>
  <c r="J107" i="1"/>
  <c r="B37" i="1" l="1"/>
  <c r="B38" i="1" l="1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2" i="2"/>
  <c r="B39" i="1" l="1"/>
  <c r="E5" i="3"/>
  <c r="E4" i="3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E95" i="1"/>
  <c r="E94" i="1"/>
  <c r="E93" i="1"/>
  <c r="E91" i="1"/>
  <c r="E90" i="1"/>
  <c r="E89" i="1"/>
  <c r="E88" i="1"/>
  <c r="E87" i="1"/>
  <c r="G37" i="1"/>
  <c r="G36" i="1"/>
  <c r="H36" i="1" s="1"/>
  <c r="D36" i="1"/>
  <c r="D30" i="1"/>
  <c r="J95" i="1" l="1"/>
  <c r="K95" i="1"/>
  <c r="B40" i="1"/>
  <c r="E73" i="1"/>
  <c r="E47" i="1"/>
  <c r="E63" i="1"/>
  <c r="E69" i="1"/>
  <c r="E85" i="1"/>
  <c r="E48" i="1"/>
  <c r="E65" i="1"/>
  <c r="E81" i="1"/>
  <c r="E71" i="1"/>
  <c r="E50" i="1"/>
  <c r="E66" i="1"/>
  <c r="E82" i="1"/>
  <c r="E41" i="1"/>
  <c r="E57" i="1"/>
  <c r="E79" i="1"/>
  <c r="E74" i="1"/>
  <c r="E37" i="1"/>
  <c r="E64" i="1"/>
  <c r="E80" i="1"/>
  <c r="E43" i="1"/>
  <c r="E59" i="1"/>
  <c r="E75" i="1"/>
  <c r="E49" i="1"/>
  <c r="E39" i="1"/>
  <c r="E55" i="1"/>
  <c r="E45" i="1"/>
  <c r="E61" i="1"/>
  <c r="E77" i="1"/>
  <c r="E40" i="1"/>
  <c r="E56" i="1"/>
  <c r="E72" i="1"/>
  <c r="E42" i="1"/>
  <c r="E58" i="1"/>
  <c r="E53" i="1"/>
  <c r="E51" i="1"/>
  <c r="E67" i="1"/>
  <c r="E83" i="1"/>
  <c r="I36" i="1"/>
  <c r="I37" i="1"/>
  <c r="E36" i="1"/>
  <c r="M36" i="1" s="1"/>
  <c r="E44" i="1"/>
  <c r="E52" i="1"/>
  <c r="E60" i="1"/>
  <c r="E68" i="1"/>
  <c r="E76" i="1"/>
  <c r="E84" i="1"/>
  <c r="E92" i="1"/>
  <c r="H37" i="1"/>
  <c r="E54" i="1"/>
  <c r="E78" i="1"/>
  <c r="E38" i="1"/>
  <c r="E46" i="1"/>
  <c r="E62" i="1"/>
  <c r="E70" i="1"/>
  <c r="E86" i="1"/>
  <c r="N37" i="1" l="1"/>
  <c r="M37" i="1"/>
  <c r="N36" i="1"/>
  <c r="B41" i="1"/>
  <c r="K36" i="1"/>
  <c r="J36" i="1"/>
  <c r="K37" i="1"/>
  <c r="J37" i="1"/>
  <c r="G93" i="1" l="1"/>
  <c r="G85" i="1"/>
  <c r="G77" i="1"/>
  <c r="G61" i="1"/>
  <c r="G45" i="1"/>
  <c r="G92" i="1"/>
  <c r="G84" i="1"/>
  <c r="G76" i="1"/>
  <c r="G68" i="1"/>
  <c r="G60" i="1"/>
  <c r="G52" i="1"/>
  <c r="G44" i="1"/>
  <c r="G91" i="1"/>
  <c r="G83" i="1"/>
  <c r="G75" i="1"/>
  <c r="G67" i="1"/>
  <c r="G59" i="1"/>
  <c r="G51" i="1"/>
  <c r="G43" i="1"/>
  <c r="G88" i="1"/>
  <c r="G64" i="1"/>
  <c r="G56" i="1"/>
  <c r="G48" i="1"/>
  <c r="G40" i="1"/>
  <c r="G79" i="1"/>
  <c r="G63" i="1"/>
  <c r="G55" i="1"/>
  <c r="G47" i="1"/>
  <c r="G94" i="1"/>
  <c r="G69" i="1"/>
  <c r="G53" i="1"/>
  <c r="G90" i="1"/>
  <c r="G82" i="1"/>
  <c r="G74" i="1"/>
  <c r="G66" i="1"/>
  <c r="G58" i="1"/>
  <c r="G50" i="1"/>
  <c r="G42" i="1"/>
  <c r="G81" i="1"/>
  <c r="G73" i="1"/>
  <c r="G65" i="1"/>
  <c r="G57" i="1"/>
  <c r="G49" i="1"/>
  <c r="G72" i="1"/>
  <c r="G71" i="1"/>
  <c r="G70" i="1"/>
  <c r="G46" i="1"/>
  <c r="G89" i="1"/>
  <c r="G41" i="1"/>
  <c r="G80" i="1"/>
  <c r="G87" i="1"/>
  <c r="G39" i="1"/>
  <c r="G86" i="1"/>
  <c r="G78" i="1"/>
  <c r="G62" i="1"/>
  <c r="G54" i="1"/>
  <c r="G38" i="1"/>
  <c r="B42" i="1"/>
  <c r="H46" i="1" l="1"/>
  <c r="N46" i="1" s="1"/>
  <c r="I46" i="1"/>
  <c r="H70" i="1"/>
  <c r="N70" i="1" s="1"/>
  <c r="I70" i="1"/>
  <c r="I94" i="1"/>
  <c r="H94" i="1"/>
  <c r="H47" i="1"/>
  <c r="I47" i="1"/>
  <c r="H44" i="1"/>
  <c r="I44" i="1"/>
  <c r="H52" i="1"/>
  <c r="I52" i="1"/>
  <c r="H79" i="1"/>
  <c r="N79" i="1" s="1"/>
  <c r="I79" i="1"/>
  <c r="H54" i="1"/>
  <c r="I54" i="1"/>
  <c r="H68" i="1"/>
  <c r="N68" i="1" s="1"/>
  <c r="I68" i="1"/>
  <c r="H62" i="1"/>
  <c r="N62" i="1" s="1"/>
  <c r="I62" i="1"/>
  <c r="H81" i="1"/>
  <c r="N81" i="1" s="1"/>
  <c r="I81" i="1"/>
  <c r="H40" i="1"/>
  <c r="I40" i="1"/>
  <c r="H76" i="1"/>
  <c r="I76" i="1"/>
  <c r="H53" i="1"/>
  <c r="N53" i="1" s="1"/>
  <c r="I53" i="1"/>
  <c r="H71" i="1"/>
  <c r="I71" i="1"/>
  <c r="I55" i="1"/>
  <c r="H55" i="1"/>
  <c r="H57" i="1"/>
  <c r="N57" i="1" s="1"/>
  <c r="I57" i="1"/>
  <c r="H38" i="1"/>
  <c r="I38" i="1"/>
  <c r="I65" i="1"/>
  <c r="H65" i="1"/>
  <c r="H60" i="1"/>
  <c r="I60" i="1"/>
  <c r="H73" i="1"/>
  <c r="I73" i="1"/>
  <c r="H78" i="1"/>
  <c r="I78" i="1"/>
  <c r="H42" i="1"/>
  <c r="I42" i="1"/>
  <c r="I48" i="1"/>
  <c r="H48" i="1"/>
  <c r="N48" i="1" s="1"/>
  <c r="H84" i="1"/>
  <c r="N84" i="1" s="1"/>
  <c r="I84" i="1"/>
  <c r="I75" i="1"/>
  <c r="H75" i="1"/>
  <c r="H83" i="1"/>
  <c r="N83" i="1" s="1"/>
  <c r="I83" i="1"/>
  <c r="H72" i="1"/>
  <c r="N72" i="1" s="1"/>
  <c r="I72" i="1"/>
  <c r="H86" i="1"/>
  <c r="N86" i="1" s="1"/>
  <c r="I86" i="1"/>
  <c r="H50" i="1"/>
  <c r="N50" i="1" s="1"/>
  <c r="I50" i="1"/>
  <c r="H92" i="1"/>
  <c r="I92" i="1"/>
  <c r="H58" i="1"/>
  <c r="I58" i="1"/>
  <c r="H64" i="1"/>
  <c r="N64" i="1" s="1"/>
  <c r="I64" i="1"/>
  <c r="I45" i="1"/>
  <c r="H45" i="1"/>
  <c r="N45" i="1" s="1"/>
  <c r="H87" i="1"/>
  <c r="N87" i="1" s="1"/>
  <c r="I87" i="1"/>
  <c r="H66" i="1"/>
  <c r="I66" i="1"/>
  <c r="I88" i="1"/>
  <c r="H88" i="1"/>
  <c r="H61" i="1"/>
  <c r="I61" i="1"/>
  <c r="I80" i="1"/>
  <c r="H80" i="1"/>
  <c r="I74" i="1"/>
  <c r="H74" i="1"/>
  <c r="N74" i="1" s="1"/>
  <c r="I43" i="1"/>
  <c r="H43" i="1"/>
  <c r="N43" i="1" s="1"/>
  <c r="H77" i="1"/>
  <c r="N77" i="1" s="1"/>
  <c r="I77" i="1"/>
  <c r="H67" i="1"/>
  <c r="N67" i="1" s="1"/>
  <c r="I67" i="1"/>
  <c r="I69" i="1"/>
  <c r="H69" i="1"/>
  <c r="H91" i="1"/>
  <c r="N91" i="1" s="1"/>
  <c r="I91" i="1"/>
  <c r="H49" i="1"/>
  <c r="I49" i="1"/>
  <c r="I63" i="1"/>
  <c r="H63" i="1"/>
  <c r="I56" i="1"/>
  <c r="H56" i="1"/>
  <c r="N56" i="1" s="1"/>
  <c r="I39" i="1"/>
  <c r="H39" i="1"/>
  <c r="H41" i="1"/>
  <c r="N41" i="1" s="1"/>
  <c r="I41" i="1"/>
  <c r="H82" i="1"/>
  <c r="I82" i="1"/>
  <c r="H51" i="1"/>
  <c r="N51" i="1" s="1"/>
  <c r="I51" i="1"/>
  <c r="H85" i="1"/>
  <c r="I85" i="1"/>
  <c r="H89" i="1"/>
  <c r="I89" i="1"/>
  <c r="H90" i="1"/>
  <c r="I90" i="1"/>
  <c r="H59" i="1"/>
  <c r="I59" i="1"/>
  <c r="I93" i="1"/>
  <c r="H93" i="1"/>
  <c r="N93" i="1" s="1"/>
  <c r="B43" i="1"/>
  <c r="M80" i="1" l="1"/>
  <c r="N80" i="1"/>
  <c r="M55" i="1"/>
  <c r="N55" i="1"/>
  <c r="M90" i="1"/>
  <c r="N90" i="1"/>
  <c r="M78" i="1"/>
  <c r="N78" i="1"/>
  <c r="M71" i="1"/>
  <c r="N71" i="1"/>
  <c r="M88" i="1"/>
  <c r="N88" i="1"/>
  <c r="M85" i="1"/>
  <c r="N85" i="1"/>
  <c r="M66" i="1"/>
  <c r="N66" i="1"/>
  <c r="M73" i="1"/>
  <c r="N73" i="1"/>
  <c r="M76" i="1"/>
  <c r="N76" i="1"/>
  <c r="M44" i="1"/>
  <c r="N44" i="1"/>
  <c r="M82" i="1"/>
  <c r="N82" i="1"/>
  <c r="M60" i="1"/>
  <c r="N60" i="1"/>
  <c r="M40" i="1"/>
  <c r="N40" i="1"/>
  <c r="M47" i="1"/>
  <c r="N47" i="1"/>
  <c r="M59" i="1"/>
  <c r="N59" i="1"/>
  <c r="M58" i="1"/>
  <c r="N58" i="1"/>
  <c r="M63" i="1"/>
  <c r="N63" i="1"/>
  <c r="M92" i="1"/>
  <c r="N92" i="1"/>
  <c r="M42" i="1"/>
  <c r="N42" i="1"/>
  <c r="M54" i="1"/>
  <c r="N54" i="1"/>
  <c r="M89" i="1"/>
  <c r="N89" i="1"/>
  <c r="M49" i="1"/>
  <c r="N49" i="1"/>
  <c r="M61" i="1"/>
  <c r="N61" i="1"/>
  <c r="M95" i="1"/>
  <c r="N95" i="1"/>
  <c r="M52" i="1"/>
  <c r="N52" i="1"/>
  <c r="M69" i="1"/>
  <c r="N69" i="1"/>
  <c r="M75" i="1"/>
  <c r="N75" i="1"/>
  <c r="M65" i="1"/>
  <c r="N65" i="1"/>
  <c r="M94" i="1"/>
  <c r="N94" i="1"/>
  <c r="M39" i="1"/>
  <c r="N39" i="1"/>
  <c r="M38" i="1"/>
  <c r="N38" i="1"/>
  <c r="M91" i="1"/>
  <c r="M86" i="1"/>
  <c r="M53" i="1"/>
  <c r="M51" i="1"/>
  <c r="M72" i="1"/>
  <c r="M67" i="1"/>
  <c r="M87" i="1"/>
  <c r="M83" i="1"/>
  <c r="M50" i="1"/>
  <c r="M79" i="1"/>
  <c r="M45" i="1"/>
  <c r="M41" i="1"/>
  <c r="M77" i="1"/>
  <c r="M81" i="1"/>
  <c r="M93" i="1"/>
  <c r="M43" i="1"/>
  <c r="M64" i="1"/>
  <c r="M84" i="1"/>
  <c r="M62" i="1"/>
  <c r="M70" i="1"/>
  <c r="M56" i="1"/>
  <c r="M74" i="1"/>
  <c r="M48" i="1"/>
  <c r="M57" i="1"/>
  <c r="M68" i="1"/>
  <c r="M46" i="1"/>
  <c r="J68" i="1"/>
  <c r="K68" i="1"/>
  <c r="K80" i="1"/>
  <c r="J80" i="1"/>
  <c r="K55" i="1"/>
  <c r="J55" i="1"/>
  <c r="J42" i="1"/>
  <c r="K42" i="1"/>
  <c r="K49" i="1"/>
  <c r="J49" i="1"/>
  <c r="K50" i="1"/>
  <c r="J50" i="1"/>
  <c r="K78" i="1"/>
  <c r="J78" i="1"/>
  <c r="J79" i="1"/>
  <c r="K79" i="1"/>
  <c r="K88" i="1"/>
  <c r="J88" i="1"/>
  <c r="J91" i="1"/>
  <c r="K91" i="1"/>
  <c r="K86" i="1"/>
  <c r="J86" i="1"/>
  <c r="J52" i="1"/>
  <c r="K52" i="1"/>
  <c r="K51" i="1"/>
  <c r="J51" i="1"/>
  <c r="K66" i="1"/>
  <c r="J66" i="1"/>
  <c r="K73" i="1"/>
  <c r="J73" i="1"/>
  <c r="M4" i="1" s="1"/>
  <c r="J44" i="1"/>
  <c r="K44" i="1"/>
  <c r="K74" i="1"/>
  <c r="J74" i="1"/>
  <c r="K59" i="1"/>
  <c r="J59" i="1"/>
  <c r="K58" i="1"/>
  <c r="J58" i="1"/>
  <c r="K57" i="1"/>
  <c r="J57" i="1"/>
  <c r="J63" i="1"/>
  <c r="K63" i="1"/>
  <c r="K90" i="1"/>
  <c r="J90" i="1"/>
  <c r="K92" i="1"/>
  <c r="J92" i="1"/>
  <c r="K89" i="1"/>
  <c r="J89" i="1"/>
  <c r="J61" i="1"/>
  <c r="K61" i="1"/>
  <c r="J71" i="1"/>
  <c r="K71" i="1"/>
  <c r="J85" i="1"/>
  <c r="K85" i="1"/>
  <c r="J53" i="1"/>
  <c r="K53" i="1"/>
  <c r="J69" i="1"/>
  <c r="K69" i="1"/>
  <c r="J72" i="1"/>
  <c r="K72" i="1"/>
  <c r="K76" i="1"/>
  <c r="J76" i="1"/>
  <c r="K82" i="1"/>
  <c r="J82" i="1"/>
  <c r="K67" i="1"/>
  <c r="J67" i="1"/>
  <c r="K87" i="1"/>
  <c r="J87" i="1"/>
  <c r="K83" i="1"/>
  <c r="J83" i="1"/>
  <c r="J60" i="1"/>
  <c r="K60" i="1"/>
  <c r="J40" i="1"/>
  <c r="K40" i="1"/>
  <c r="K47" i="1"/>
  <c r="J47" i="1"/>
  <c r="J56" i="1"/>
  <c r="K56" i="1"/>
  <c r="K48" i="1"/>
  <c r="J48" i="1"/>
  <c r="J46" i="1"/>
  <c r="K46" i="1"/>
  <c r="K54" i="1"/>
  <c r="J54" i="1"/>
  <c r="J45" i="1"/>
  <c r="K45" i="1"/>
  <c r="J75" i="1"/>
  <c r="K75" i="1"/>
  <c r="K65" i="1"/>
  <c r="J65" i="1"/>
  <c r="K94" i="1"/>
  <c r="J94" i="1"/>
  <c r="J41" i="1"/>
  <c r="K41" i="1"/>
  <c r="K77" i="1"/>
  <c r="J77" i="1"/>
  <c r="J81" i="1"/>
  <c r="K81" i="1"/>
  <c r="J93" i="1"/>
  <c r="K93" i="1"/>
  <c r="K39" i="1"/>
  <c r="J39" i="1"/>
  <c r="J43" i="1"/>
  <c r="K43" i="1"/>
  <c r="K64" i="1"/>
  <c r="J64" i="1"/>
  <c r="J84" i="1"/>
  <c r="K84" i="1"/>
  <c r="K38" i="1"/>
  <c r="J38" i="1"/>
  <c r="K62" i="1"/>
  <c r="J62" i="1"/>
  <c r="K70" i="1"/>
  <c r="J70" i="1"/>
  <c r="B44" i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</calcChain>
</file>

<file path=xl/sharedStrings.xml><?xml version="1.0" encoding="utf-8"?>
<sst xmlns="http://schemas.openxmlformats.org/spreadsheetml/2006/main" count="673" uniqueCount="297">
  <si>
    <t>CURVA S - FABRICAÇÃO DE ESTRUTURAS METÁLICAS | JM ENGENHARIA</t>
  </si>
  <si>
    <t>Indicador</t>
  </si>
  <si>
    <t>Valor</t>
  </si>
  <si>
    <t>Unidade</t>
  </si>
  <si>
    <t>Observação</t>
  </si>
  <si>
    <t>Peso planejado total</t>
  </si>
  <si>
    <t>kg</t>
  </si>
  <si>
    <t>Base do avanço físico por peso</t>
  </si>
  <si>
    <t>Peso fabricado atual</t>
  </si>
  <si>
    <t>Campo editável no dia correspondente</t>
  </si>
  <si>
    <t>Avanço físico atual</t>
  </si>
  <si>
    <t>%</t>
  </si>
  <si>
    <t>Peso fabricado acumulado ÷ peso planejado total</t>
  </si>
  <si>
    <t>Período do cronograma</t>
  </si>
  <si>
    <t>31/08/2026 a 30/11/2026</t>
  </si>
  <si>
    <t>dias úteis</t>
  </si>
  <si>
    <t>60 dias úteis</t>
  </si>
  <si>
    <t>Produção média planejada</t>
  </si>
  <si>
    <t>kg/dia</t>
  </si>
  <si>
    <t>Peso total ÷ dias úteis</t>
  </si>
  <si>
    <t>Critério da Curva S</t>
  </si>
  <si>
    <t>Peso fabricado</t>
  </si>
  <si>
    <t>Avanço não medido por quantidade de tarefas</t>
  </si>
  <si>
    <t>Dia</t>
  </si>
  <si>
    <t>Data</t>
  </si>
  <si>
    <t>Peso planejado dia (kg)</t>
  </si>
  <si>
    <t>Peso planejado acum. (kg)</t>
  </si>
  <si>
    <t>Avanço planejado (%)</t>
  </si>
  <si>
    <t>Peso fabricado dia (kg)</t>
  </si>
  <si>
    <t>Peso fabricado acum. (kg)</t>
  </si>
  <si>
    <t>Avanço fabricado (%)</t>
  </si>
  <si>
    <t>Desvio acum. (kg)</t>
  </si>
  <si>
    <t>Desvio acum. (%)</t>
  </si>
  <si>
    <t>Status</t>
  </si>
  <si>
    <t>verde</t>
  </si>
  <si>
    <t>vermelho</t>
  </si>
  <si>
    <t>13/10/2026 a 20/11/2026</t>
  </si>
  <si>
    <t>kg/Samana</t>
  </si>
  <si>
    <t>Semana</t>
  </si>
  <si>
    <t>Início</t>
  </si>
  <si>
    <t>Peso planejado Semanal (kg)</t>
  </si>
  <si>
    <t>Peso fabricado Semanal (kg)</t>
  </si>
  <si>
    <t>ID MS Project</t>
  </si>
  <si>
    <t>Projeto/Área</t>
  </si>
  <si>
    <t>Desenho</t>
  </si>
  <si>
    <t>Marca/Item</t>
  </si>
  <si>
    <t>Nome da Tarefa</t>
  </si>
  <si>
    <t>Término</t>
  </si>
  <si>
    <t>Peso planejado (kg)</t>
  </si>
  <si>
    <t>Peso fabricado (kg)</t>
  </si>
  <si>
    <t>Avanço por peso (%)</t>
  </si>
  <si>
    <t>Peso expedido (kg)</t>
  </si>
  <si>
    <t>Linha Banco de Dados</t>
  </si>
  <si>
    <t>Estação de Emenda</t>
  </si>
  <si>
    <t>2011KS-S-500960-REV.0</t>
  </si>
  <si>
    <t>FIXAÇÃO</t>
  </si>
  <si>
    <t>ELEMENTOS DE FIXAÇÃO</t>
  </si>
  <si>
    <t>2011KS-S-500962-REV.0</t>
  </si>
  <si>
    <t>0962A</t>
  </si>
  <si>
    <t>0962A - PLATAFORMA TIPO 01</t>
  </si>
  <si>
    <t>0962B</t>
  </si>
  <si>
    <t>0962B - OLHAL - DIR.</t>
  </si>
  <si>
    <t>0962C</t>
  </si>
  <si>
    <t>0962C - OLHAL - ESQ.</t>
  </si>
  <si>
    <t>2011KS-S-500963-REV.0</t>
  </si>
  <si>
    <t>0963A</t>
  </si>
  <si>
    <t>0963A - PLATAFORMA TIPO 02</t>
  </si>
  <si>
    <t>2011KS-S-500964-REV.0</t>
  </si>
  <si>
    <t>0964A</t>
  </si>
  <si>
    <t>0964A - PLATAFORMA TIPO 03 - DIR.</t>
  </si>
  <si>
    <t>2011KS-S-500965-REV.0</t>
  </si>
  <si>
    <t>0965A</t>
  </si>
  <si>
    <t>0965A - PLATAFORMA TIPO 04</t>
  </si>
  <si>
    <t>2011KS-S-500966-REV.0</t>
  </si>
  <si>
    <t>0966B</t>
  </si>
  <si>
    <t>0966B - PLATAFORMA TIPO 05 - ESQ.</t>
  </si>
  <si>
    <t>2011KS-S-500967-REV.0</t>
  </si>
  <si>
    <t>0967B</t>
  </si>
  <si>
    <t>0967B - PLATAFORMA TIPO 06 - ESQ.</t>
  </si>
  <si>
    <t>2011KS-S-500968-REV.0</t>
  </si>
  <si>
    <t>0968A</t>
  </si>
  <si>
    <t>0968A - PLATAFORMA</t>
  </si>
  <si>
    <t>2011KS-S-500969-REV.0</t>
  </si>
  <si>
    <t>0969A</t>
  </si>
  <si>
    <t>0969A - PLATAFORMA</t>
  </si>
  <si>
    <t>2011KS-S-500970-REV.0</t>
  </si>
  <si>
    <t>0970A</t>
  </si>
  <si>
    <t>0970A - PLATAFORMA</t>
  </si>
  <si>
    <t>2011KS-S-500971-REV.0</t>
  </si>
  <si>
    <t>2011KS-S-500973-REV.0</t>
  </si>
  <si>
    <t>0973A</t>
  </si>
  <si>
    <t>0973A - GUARDA CORPO - DIR.</t>
  </si>
  <si>
    <t>0973B</t>
  </si>
  <si>
    <t>0973B - GUARDA CORPO - ESQ.</t>
  </si>
  <si>
    <t>0973C</t>
  </si>
  <si>
    <t>0973C - GUARDA CORPO - DIR.</t>
  </si>
  <si>
    <t>0973D</t>
  </si>
  <si>
    <t>0973D - GUARDA CORPO - ESQ.</t>
  </si>
  <si>
    <t>0973E</t>
  </si>
  <si>
    <t>0973E - GUARDA CORPO</t>
  </si>
  <si>
    <t>0973F</t>
  </si>
  <si>
    <t>0973F - GUARDA CORPO - DIR.</t>
  </si>
  <si>
    <t>0973G</t>
  </si>
  <si>
    <t>0973G - GUARDA CORPO - ESQ.</t>
  </si>
  <si>
    <t>2011KS-S-500974-REV.0</t>
  </si>
  <si>
    <t>0974A</t>
  </si>
  <si>
    <t>0974A - ESCADA 01</t>
  </si>
  <si>
    <t>0974C</t>
  </si>
  <si>
    <t>0974C - ESCADA 02</t>
  </si>
  <si>
    <t>2011KS-S-500975-REV.0</t>
  </si>
  <si>
    <t>0975A</t>
  </si>
  <si>
    <t>0975A - ESCADA 03 - DIR.</t>
  </si>
  <si>
    <t>0975B</t>
  </si>
  <si>
    <t>0975B - ESCADA 03 - ESQ.</t>
  </si>
  <si>
    <t>2011KS-S-500976-REV.0</t>
  </si>
  <si>
    <t>0976B</t>
  </si>
  <si>
    <t>0976B - APOIO ESCADA TIPO 2</t>
  </si>
  <si>
    <t>0976D</t>
  </si>
  <si>
    <t>0976D - VIGA - ESQ.</t>
  </si>
  <si>
    <t>0976E</t>
  </si>
  <si>
    <t>0976E - VIGA - DIR.</t>
  </si>
  <si>
    <t>0976G</t>
  </si>
  <si>
    <t>0976G - TALA</t>
  </si>
  <si>
    <t>0976H</t>
  </si>
  <si>
    <t>0976H - TALA</t>
  </si>
  <si>
    <t>2011KS-S-500977-REV.0</t>
  </si>
  <si>
    <t>0977A</t>
  </si>
  <si>
    <t>0977A - CORRIMÃO - DIR.</t>
  </si>
  <si>
    <t>0977B</t>
  </si>
  <si>
    <t>0977B - CORRIMÃO - ESQ.</t>
  </si>
  <si>
    <t>0977C</t>
  </si>
  <si>
    <t>0977C - CORRIMÃO - DIR.</t>
  </si>
  <si>
    <t>0977D</t>
  </si>
  <si>
    <t>0977D - CORRIMÃO - ESQ.</t>
  </si>
  <si>
    <t>2011KS-S-500978-REV.0</t>
  </si>
  <si>
    <t>0978A</t>
  </si>
  <si>
    <t>0978A - CORRIMÃO - DIR.</t>
  </si>
  <si>
    <t>0978B</t>
  </si>
  <si>
    <t>0978B - CORRIMÃO - ESQ.</t>
  </si>
  <si>
    <t>0978C</t>
  </si>
  <si>
    <t>0978C - CORRIMÃO - DIR.</t>
  </si>
  <si>
    <t>0978D</t>
  </si>
  <si>
    <t>0978D - CORRIMÃO - ESQ.</t>
  </si>
  <si>
    <t>0978E</t>
  </si>
  <si>
    <t>0978E - GUARDA CORPO</t>
  </si>
  <si>
    <t>0978F</t>
  </si>
  <si>
    <t>0978F - GUARDA CORPO</t>
  </si>
  <si>
    <t>0978G</t>
  </si>
  <si>
    <t>0978G - GUARDA CORPO</t>
  </si>
  <si>
    <t>0978H</t>
  </si>
  <si>
    <t>0978H - GUARDA CORPO - DIR.</t>
  </si>
  <si>
    <t>0978J</t>
  </si>
  <si>
    <t>0978J - GUARDA CORPO - ESQ.</t>
  </si>
  <si>
    <t>2011KS-S-500979-REV.0</t>
  </si>
  <si>
    <t>2011KS-S-500981-REV.0</t>
  </si>
  <si>
    <t>0981A</t>
  </si>
  <si>
    <t>0981A - TRAVESSA 01</t>
  </si>
  <si>
    <t>0981D</t>
  </si>
  <si>
    <t>0981D - TRAVESSA 04</t>
  </si>
  <si>
    <t>0981E</t>
  </si>
  <si>
    <t>0981E - TRAVESSA 05</t>
  </si>
  <si>
    <t>0981F</t>
  </si>
  <si>
    <t>0981F - TRAVESSA 06</t>
  </si>
  <si>
    <t>0981L</t>
  </si>
  <si>
    <t>0981L - CONTRAVENTAMENTO 04</t>
  </si>
  <si>
    <t>0981M</t>
  </si>
  <si>
    <t>0981M - CONTRAVENTAMENTO 05</t>
  </si>
  <si>
    <t>0981N</t>
  </si>
  <si>
    <t>0981N - CONTRAVENTAMENTO 06</t>
  </si>
  <si>
    <t>0981P</t>
  </si>
  <si>
    <t>0981P - CONTRAVENTAMENTO 07</t>
  </si>
  <si>
    <t>0981Q</t>
  </si>
  <si>
    <t>0981Q - CONTRAVENTAMENTO 08</t>
  </si>
  <si>
    <t>2011KS-S-500982-REV.0</t>
  </si>
  <si>
    <t>0982A</t>
  </si>
  <si>
    <t>0982A - COLUNA 01</t>
  </si>
  <si>
    <t>0982B</t>
  </si>
  <si>
    <t>0982B - COLUNA 02</t>
  </si>
  <si>
    <t>0982C</t>
  </si>
  <si>
    <t>0982C - COLUNA 03</t>
  </si>
  <si>
    <t>0982D</t>
  </si>
  <si>
    <t>0982D - COLUNA 04</t>
  </si>
  <si>
    <t>2011KS-S-500999-REV.0</t>
  </si>
  <si>
    <t>0999A</t>
  </si>
  <si>
    <t>0999A - COLUNA 05</t>
  </si>
  <si>
    <t>0999B</t>
  </si>
  <si>
    <t>0999B - COLUNA 06</t>
  </si>
  <si>
    <t>0999C</t>
  </si>
  <si>
    <t>0999C - COLUNA 07</t>
  </si>
  <si>
    <t>0999D</t>
  </si>
  <si>
    <t>0999D - COLUNA 08</t>
  </si>
  <si>
    <t>2011KS-S-501000-REV.0</t>
  </si>
  <si>
    <t>1000A</t>
  </si>
  <si>
    <t>1000A - COLUNA 09</t>
  </si>
  <si>
    <t>1000B</t>
  </si>
  <si>
    <t>1000B - COLUNA 10</t>
  </si>
  <si>
    <t>1000C</t>
  </si>
  <si>
    <t>1000C - COLUNA 11</t>
  </si>
  <si>
    <t>2011KS-S-501001-REV.0</t>
  </si>
  <si>
    <t>1001A</t>
  </si>
  <si>
    <t>1001A - COLUNA 01</t>
  </si>
  <si>
    <t>1001B</t>
  </si>
  <si>
    <t>1001B - COLUNA 02</t>
  </si>
  <si>
    <t>1001C</t>
  </si>
  <si>
    <t>1001C - COLUNA 03</t>
  </si>
  <si>
    <t>1001D</t>
  </si>
  <si>
    <t>1001D - COLUNA 04</t>
  </si>
  <si>
    <t>1001E</t>
  </si>
  <si>
    <t>1001E - COLUNA 05</t>
  </si>
  <si>
    <t>2011KS-S-501002-REV.0</t>
  </si>
  <si>
    <t>1002A</t>
  </si>
  <si>
    <t>1002A - COLUNA 01</t>
  </si>
  <si>
    <t>1002B</t>
  </si>
  <si>
    <t>1002B - COLUNA 02</t>
  </si>
  <si>
    <t>1002C</t>
  </si>
  <si>
    <t>1002C - COLUNA 03</t>
  </si>
  <si>
    <t>1002D</t>
  </si>
  <si>
    <t>1002D - COLUNA 04</t>
  </si>
  <si>
    <t>1002E</t>
  </si>
  <si>
    <t>1002E - COLUNA 05</t>
  </si>
  <si>
    <t>2011KS-S-501009-REV.0</t>
  </si>
  <si>
    <t>2011KS-S-501010-REV.0</t>
  </si>
  <si>
    <t>1010A</t>
  </si>
  <si>
    <t>1010A - TRILHO 01 (DIR.)</t>
  </si>
  <si>
    <t>1010B</t>
  </si>
  <si>
    <t>1010B - TRILHO 01 (ESQ.)</t>
  </si>
  <si>
    <t>1010C</t>
  </si>
  <si>
    <t>1010C - TRILHO 02 (DIR.)</t>
  </si>
  <si>
    <t>1010D</t>
  </si>
  <si>
    <t>1010D - TRILHO 02 (ESQ.)</t>
  </si>
  <si>
    <t>1010E</t>
  </si>
  <si>
    <t>1010E - TRILHO 03 (DIR.)</t>
  </si>
  <si>
    <t>1010F</t>
  </si>
  <si>
    <t>1010F - TRILHO 03 (ESQ.)</t>
  </si>
  <si>
    <t>1010G</t>
  </si>
  <si>
    <t>1010G - TRILHO 04 (DIR.)</t>
  </si>
  <si>
    <t>1010H</t>
  </si>
  <si>
    <t>1010H - TRILHO 04 (ESQ.)</t>
  </si>
  <si>
    <t>1010J</t>
  </si>
  <si>
    <t>1010J - BATENTE</t>
  </si>
  <si>
    <t>2011KS-S-501011-REV.0</t>
  </si>
  <si>
    <t>1011A</t>
  </si>
  <si>
    <t>1011A - TRILHO 05 (DIR.)</t>
  </si>
  <si>
    <t>1011B</t>
  </si>
  <si>
    <t>1011B - TRILHO 05 (ESQ.)</t>
  </si>
  <si>
    <t>1011C</t>
  </si>
  <si>
    <t>1011C - TRILHO 06 (DIR.)</t>
  </si>
  <si>
    <t>1011D</t>
  </si>
  <si>
    <t>1011D - TRILHO 06 (ESQ.)</t>
  </si>
  <si>
    <t>1011E</t>
  </si>
  <si>
    <t>1011E - TRILHO 07 (DIR.)</t>
  </si>
  <si>
    <t>1011F</t>
  </si>
  <si>
    <t>1011F - TRILHO 07 (ESQ.)</t>
  </si>
  <si>
    <t>1010G - TRILHO 08 (DIR.)</t>
  </si>
  <si>
    <t>1010H - TRILHO 08 (ESQ.)</t>
  </si>
  <si>
    <t>2011KS-S-501014-REV.0</t>
  </si>
  <si>
    <t>1014A</t>
  </si>
  <si>
    <t>1014A - COLUNA TRELIÇA</t>
  </si>
  <si>
    <t>1014B</t>
  </si>
  <si>
    <t>1014B - VIGA EM ARCO</t>
  </si>
  <si>
    <t>2011KS-S-501015-REV.0</t>
  </si>
  <si>
    <t>1015A</t>
  </si>
  <si>
    <t>1015A - TERÇA</t>
  </si>
  <si>
    <t>1015B</t>
  </si>
  <si>
    <t>1015B - TERÇA</t>
  </si>
  <si>
    <t>1015C</t>
  </si>
  <si>
    <t>1015C - SUPORTE</t>
  </si>
  <si>
    <t>1015D</t>
  </si>
  <si>
    <t>1015D - TIRANTE</t>
  </si>
  <si>
    <t>1015E</t>
  </si>
  <si>
    <t>1015E - TIRANTE</t>
  </si>
  <si>
    <t>2011KS-S-501016-REV.0</t>
  </si>
  <si>
    <t>1016A</t>
  </si>
  <si>
    <t>1016A - CARRO</t>
  </si>
  <si>
    <t>1016B</t>
  </si>
  <si>
    <t>1016B - PINO DE TRAVA</t>
  </si>
  <si>
    <t>2011KS-S-501018-REV.0</t>
  </si>
  <si>
    <t>1018A</t>
  </si>
  <si>
    <t>1018A - COLUNA TRELIÇADA</t>
  </si>
  <si>
    <t>1018B</t>
  </si>
  <si>
    <t>1018B - VIGA EM ARCO</t>
  </si>
  <si>
    <t>2011KS-S-501019-REV.0</t>
  </si>
  <si>
    <t>1019A</t>
  </si>
  <si>
    <t>1019A - TERÇA</t>
  </si>
  <si>
    <t>1019B</t>
  </si>
  <si>
    <t>1019B - TERÇA</t>
  </si>
  <si>
    <t>1019C</t>
  </si>
  <si>
    <t>1019C - SUPORTE</t>
  </si>
  <si>
    <t>1019D</t>
  </si>
  <si>
    <t>1019D - TIRANTE</t>
  </si>
  <si>
    <t>2011KS-S-501020-REV.0</t>
  </si>
  <si>
    <t>3</t>
  </si>
  <si>
    <t>3 - SISTEMA DE DESLOCAMENTO DAS COBERTURAS</t>
  </si>
  <si>
    <t>RESUMO POR ÁREA / GRUPO</t>
  </si>
  <si>
    <t>Qtd. tarefas</t>
  </si>
  <si>
    <t>Avanço (%)</t>
  </si>
  <si>
    <t>Plataforma do Bobinador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</si>
</sst>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1"/>
      <name val="Carlito"/>
    </font>
    <font>
      <b/>
      <sz val="8"/>
      <color rgb="FFFFFFFF"/>
      <name val="Carlito"/>
    </font>
    <font>
      <sz val="8"/>
      <name val="Carlito"/>
    </font>
    <font>
      <b/>
      <sz val="8"/>
      <name val="Carlito"/>
    </font>
    <font>
      <sz val="8"/>
      <color rgb="FF24344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" fontId="5" fillId="0" borderId="0" xfId="0" applyNumberFormat="1" applyFont="1"/>
    <xf numFmtId="22" fontId="5" fillId="0" borderId="0" xfId="0" applyNumberFormat="1" applyFont="1"/>
    <xf numFmtId="4" fontId="5" fillId="0" borderId="0" xfId="0" applyNumberFormat="1" applyFont="1"/>
    <xf numFmtId="4" fontId="5" fillId="4" borderId="0" xfId="0" applyNumberFormat="1" applyFont="1" applyFill="1"/>
    <xf numFmtId="10" fontId="5" fillId="0" borderId="0" xfId="0" applyNumberFormat="1" applyFont="1"/>
    <xf numFmtId="0" fontId="6" fillId="3" borderId="0" xfId="0" applyFont="1" applyFill="1"/>
    <xf numFmtId="4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/>
    <xf numFmtId="43" fontId="5" fillId="0" borderId="0" xfId="1" applyFont="1"/>
    <xf numFmtId="9" fontId="5" fillId="0" borderId="0" xfId="2" applyFo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9" fontId="4" fillId="5" borderId="0" xfId="2" applyFont="1" applyFill="1" applyAlignment="1">
      <alignment horizontal="center" vertical="center" wrapText="1"/>
    </xf>
    <xf numFmtId="0" fontId="0" fillId="0" borderId="0" xfId="0"/>
    <xf numFmtId="4" fontId="7" fillId="0" borderId="0" xfId="0" applyNumberFormat="1" applyFont="1"/>
    <xf numFmtId="4" fontId="5" fillId="0" borderId="0" xfId="0" applyNumberFormat="1" applyFont="1" applyFill="1"/>
    <xf numFmtId="43" fontId="5" fillId="0" borderId="0" xfId="0" applyNumberFormat="1" applyFont="1"/>
    <xf numFmtId="0" fontId="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5" borderId="0" xfId="0" applyFont="1" applyFill="1" applyAlignment="1"/>
    <xf numFmtId="0" fontId="0" fillId="0" borderId="0" xfId="0" applyAlignment="1"/>
  </cellXfs>
  <cellStyles count="3">
    <cellStyle name="Normal" xfId="0" builtinId="0"/>
    <cellStyle name="Porcentagem" xfId="2" builtinId="5"/>
    <cellStyle name="Vírgula" xfId="1" builtinId="3"/>
  </cellStyles>
  <dxfs count="111"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rgb="FF243447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solid">
          <fgColor indexed="64"/>
          <bgColor theme="6" tint="-0.499984740745262"/>
        </patternFill>
      </fill>
    </dxf>
    <dxf>
      <font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- Avanço por peso fabricado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S'!$B$36:$B$115</c:f>
              <c:numCache>
                <c:formatCode>m/d/yyyy</c:formatCode>
                <c:ptCount val="80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  <c:pt idx="32">
                  <c:v>46297</c:v>
                </c:pt>
                <c:pt idx="33">
                  <c:v>46298</c:v>
                </c:pt>
                <c:pt idx="34">
                  <c:v>46299</c:v>
                </c:pt>
                <c:pt idx="35">
                  <c:v>46300</c:v>
                </c:pt>
                <c:pt idx="36">
                  <c:v>46301</c:v>
                </c:pt>
                <c:pt idx="37">
                  <c:v>46302</c:v>
                </c:pt>
                <c:pt idx="38">
                  <c:v>46303</c:v>
                </c:pt>
                <c:pt idx="39">
                  <c:v>46304</c:v>
                </c:pt>
                <c:pt idx="40">
                  <c:v>46305</c:v>
                </c:pt>
                <c:pt idx="41">
                  <c:v>46306</c:v>
                </c:pt>
                <c:pt idx="42">
                  <c:v>46307</c:v>
                </c:pt>
                <c:pt idx="43">
                  <c:v>46308</c:v>
                </c:pt>
                <c:pt idx="44">
                  <c:v>46309</c:v>
                </c:pt>
                <c:pt idx="45">
                  <c:v>46310</c:v>
                </c:pt>
                <c:pt idx="46">
                  <c:v>46311</c:v>
                </c:pt>
                <c:pt idx="47">
                  <c:v>46312</c:v>
                </c:pt>
                <c:pt idx="48">
                  <c:v>46313</c:v>
                </c:pt>
                <c:pt idx="49">
                  <c:v>46314</c:v>
                </c:pt>
                <c:pt idx="50">
                  <c:v>46315</c:v>
                </c:pt>
                <c:pt idx="51">
                  <c:v>46316</c:v>
                </c:pt>
                <c:pt idx="52">
                  <c:v>46317</c:v>
                </c:pt>
                <c:pt idx="53">
                  <c:v>46318</c:v>
                </c:pt>
                <c:pt idx="54">
                  <c:v>46319</c:v>
                </c:pt>
                <c:pt idx="55">
                  <c:v>46320</c:v>
                </c:pt>
                <c:pt idx="56">
                  <c:v>46321</c:v>
                </c:pt>
                <c:pt idx="57">
                  <c:v>46322</c:v>
                </c:pt>
                <c:pt idx="58">
                  <c:v>46323</c:v>
                </c:pt>
                <c:pt idx="59">
                  <c:v>46324</c:v>
                </c:pt>
                <c:pt idx="60">
                  <c:v>46325</c:v>
                </c:pt>
                <c:pt idx="61">
                  <c:v>46326</c:v>
                </c:pt>
                <c:pt idx="62">
                  <c:v>46327</c:v>
                </c:pt>
                <c:pt idx="63">
                  <c:v>46328</c:v>
                </c:pt>
                <c:pt idx="64">
                  <c:v>46329</c:v>
                </c:pt>
                <c:pt idx="65">
                  <c:v>46330</c:v>
                </c:pt>
                <c:pt idx="66">
                  <c:v>46331</c:v>
                </c:pt>
                <c:pt idx="67">
                  <c:v>46332</c:v>
                </c:pt>
                <c:pt idx="68">
                  <c:v>46333</c:v>
                </c:pt>
                <c:pt idx="69">
                  <c:v>46334</c:v>
                </c:pt>
                <c:pt idx="70">
                  <c:v>46335</c:v>
                </c:pt>
                <c:pt idx="71">
                  <c:v>46336</c:v>
                </c:pt>
                <c:pt idx="72">
                  <c:v>46337</c:v>
                </c:pt>
                <c:pt idx="73">
                  <c:v>46338</c:v>
                </c:pt>
                <c:pt idx="74">
                  <c:v>46339</c:v>
                </c:pt>
                <c:pt idx="75">
                  <c:v>46340</c:v>
                </c:pt>
                <c:pt idx="76">
                  <c:v>46341</c:v>
                </c:pt>
                <c:pt idx="77">
                  <c:v>46342</c:v>
                </c:pt>
                <c:pt idx="78">
                  <c:v>46343</c:v>
                </c:pt>
                <c:pt idx="79">
                  <c:v>46344</c:v>
                </c:pt>
              </c:numCache>
            </c:numRef>
          </c:cat>
          <c:val>
            <c:numRef>
              <c:f>'Curva S'!$E$36:$E$115</c:f>
              <c:numCache>
                <c:formatCode>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2.1253843069108415E-3</c:v>
                </c:pt>
                <c:pt idx="3">
                  <c:v>6.9108407966849382E-3</c:v>
                </c:pt>
                <c:pt idx="4">
                  <c:v>1.847346611415587E-2</c:v>
                </c:pt>
                <c:pt idx="5">
                  <c:v>3.1813928619168576E-2</c:v>
                </c:pt>
                <c:pt idx="6">
                  <c:v>4.5515305440449155E-2</c:v>
                </c:pt>
                <c:pt idx="7">
                  <c:v>5.9577596577997619E-2</c:v>
                </c:pt>
                <c:pt idx="8">
                  <c:v>7.4000802031813959E-2</c:v>
                </c:pt>
                <c:pt idx="9">
                  <c:v>8.8784921801898176E-2</c:v>
                </c:pt>
                <c:pt idx="10">
                  <c:v>0.10392995588825027</c:v>
                </c:pt>
                <c:pt idx="11">
                  <c:v>0.11943590429087025</c:v>
                </c:pt>
                <c:pt idx="12">
                  <c:v>0.1353027670097581</c:v>
                </c:pt>
                <c:pt idx="13">
                  <c:v>0.15153054404491384</c:v>
                </c:pt>
                <c:pt idx="14">
                  <c:v>0.16811923539633744</c:v>
                </c:pt>
                <c:pt idx="15">
                  <c:v>0.18506884106402893</c:v>
                </c:pt>
                <c:pt idx="16">
                  <c:v>0.20237936104798832</c:v>
                </c:pt>
                <c:pt idx="17">
                  <c:v>0.22005079534821556</c:v>
                </c:pt>
                <c:pt idx="18">
                  <c:v>0.2380831439647107</c:v>
                </c:pt>
                <c:pt idx="19">
                  <c:v>0.2564764068974737</c:v>
                </c:pt>
                <c:pt idx="20">
                  <c:v>0.27523058414650459</c:v>
                </c:pt>
                <c:pt idx="21">
                  <c:v>0.29434567571180337</c:v>
                </c:pt>
                <c:pt idx="22">
                  <c:v>0.31382168159336998</c:v>
                </c:pt>
                <c:pt idx="23">
                  <c:v>0.33365860179120449</c:v>
                </c:pt>
                <c:pt idx="24">
                  <c:v>0.35385643630530689</c:v>
                </c:pt>
                <c:pt idx="25">
                  <c:v>0.37441518513567718</c:v>
                </c:pt>
                <c:pt idx="26">
                  <c:v>0.39533484828231535</c:v>
                </c:pt>
                <c:pt idx="27">
                  <c:v>0.41119997326560637</c:v>
                </c:pt>
                <c:pt idx="28">
                  <c:v>0.42687354631733743</c:v>
                </c:pt>
                <c:pt idx="29">
                  <c:v>0.44235556743750853</c:v>
                </c:pt>
                <c:pt idx="30">
                  <c:v>0.45764603662611969</c:v>
                </c:pt>
                <c:pt idx="31">
                  <c:v>0.47274495388317095</c:v>
                </c:pt>
                <c:pt idx="32">
                  <c:v>0.4876523192086622</c:v>
                </c:pt>
                <c:pt idx="33">
                  <c:v>0.5023681326025935</c:v>
                </c:pt>
                <c:pt idx="34">
                  <c:v>0.51689239406496479</c:v>
                </c:pt>
                <c:pt idx="35">
                  <c:v>0.53122510359577624</c:v>
                </c:pt>
                <c:pt idx="36">
                  <c:v>0.54536626119502774</c:v>
                </c:pt>
                <c:pt idx="37">
                  <c:v>0.55931586686271917</c:v>
                </c:pt>
                <c:pt idx="38">
                  <c:v>0.57307392059885065</c:v>
                </c:pt>
                <c:pt idx="39">
                  <c:v>0.58664042240342229</c:v>
                </c:pt>
                <c:pt idx="40">
                  <c:v>0.60001537227643398</c:v>
                </c:pt>
                <c:pt idx="41">
                  <c:v>0.61319877021788571</c:v>
                </c:pt>
                <c:pt idx="42">
                  <c:v>0.62619061622777739</c:v>
                </c:pt>
                <c:pt idx="43">
                  <c:v>0.64251196364122476</c:v>
                </c:pt>
                <c:pt idx="44">
                  <c:v>0.65512070578799664</c:v>
                </c:pt>
                <c:pt idx="45">
                  <c:v>0.66753789600320856</c:v>
                </c:pt>
                <c:pt idx="46">
                  <c:v>0.67976353428686043</c:v>
                </c:pt>
                <c:pt idx="47">
                  <c:v>0.69480163079802204</c:v>
                </c:pt>
                <c:pt idx="48">
                  <c:v>0.70664416521855411</c:v>
                </c:pt>
                <c:pt idx="49">
                  <c:v>0.71829514770752612</c:v>
                </c:pt>
                <c:pt idx="50">
                  <c:v>0.72975457826493828</c:v>
                </c:pt>
                <c:pt idx="51">
                  <c:v>0.74746611415586195</c:v>
                </c:pt>
                <c:pt idx="52">
                  <c:v>0.75854244085015421</c:v>
                </c:pt>
                <c:pt idx="53">
                  <c:v>0.76942721561288641</c:v>
                </c:pt>
                <c:pt idx="54">
                  <c:v>0.78012043844405876</c:v>
                </c:pt>
                <c:pt idx="55">
                  <c:v>0.79062210934367116</c:v>
                </c:pt>
                <c:pt idx="56">
                  <c:v>0.8071573319074995</c:v>
                </c:pt>
                <c:pt idx="57">
                  <c:v>0.817275898943992</c:v>
                </c:pt>
                <c:pt idx="58">
                  <c:v>0.82720291404892454</c:v>
                </c:pt>
                <c:pt idx="59">
                  <c:v>0.84361783184066352</c:v>
                </c:pt>
                <c:pt idx="60">
                  <c:v>0.85316174308247616</c:v>
                </c:pt>
                <c:pt idx="61">
                  <c:v>0.86961676246491171</c:v>
                </c:pt>
                <c:pt idx="62">
                  <c:v>0.87877756984360444</c:v>
                </c:pt>
                <c:pt idx="63">
                  <c:v>0.88774682529073723</c:v>
                </c:pt>
                <c:pt idx="64">
                  <c:v>0.89652452880631006</c:v>
                </c:pt>
                <c:pt idx="65">
                  <c:v>0.90511068039032294</c:v>
                </c:pt>
                <c:pt idx="66">
                  <c:v>0.91350528004277576</c:v>
                </c:pt>
                <c:pt idx="67">
                  <c:v>0.92170832776366873</c:v>
                </c:pt>
                <c:pt idx="68">
                  <c:v>0.92982889987969597</c:v>
                </c:pt>
                <c:pt idx="69">
                  <c:v>0.93771554604999408</c:v>
                </c:pt>
                <c:pt idx="70">
                  <c:v>0.94534393797620719</c:v>
                </c:pt>
                <c:pt idx="71">
                  <c:v>0.95282956823954101</c:v>
                </c:pt>
                <c:pt idx="72">
                  <c:v>0.96007485630263423</c:v>
                </c:pt>
                <c:pt idx="73">
                  <c:v>0.96712859243416749</c:v>
                </c:pt>
                <c:pt idx="74">
                  <c:v>0.9739907766341408</c:v>
                </c:pt>
                <c:pt idx="75">
                  <c:v>0.98066140890255404</c:v>
                </c:pt>
                <c:pt idx="76">
                  <c:v>0.98714048923940745</c:v>
                </c:pt>
                <c:pt idx="77">
                  <c:v>0.9934280176447009</c:v>
                </c:pt>
                <c:pt idx="78">
                  <c:v>0.99952399411843451</c:v>
                </c:pt>
                <c:pt idx="79">
                  <c:v>1.0000000000000011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9-4431-88F4-434AF1A3A6A2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S'!$M$36:$M$115</c:f>
              <c:numCache>
                <c:formatCode>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1.3166688945328169E-2</c:v>
                </c:pt>
                <c:pt idx="3">
                  <c:v>2.769429220692422E-2</c:v>
                </c:pt>
                <c:pt idx="4">
                  <c:v>4.3328565699772774E-2</c:v>
                </c:pt>
                <c:pt idx="5">
                  <c:v>5.268560352894E-2</c:v>
                </c:pt>
                <c:pt idx="6">
                  <c:v>5.268560352894E-2</c:v>
                </c:pt>
                <c:pt idx="7">
                  <c:v>7.5703916588691383E-2</c:v>
                </c:pt>
                <c:pt idx="8">
                  <c:v>9.1891592033150685E-2</c:v>
                </c:pt>
                <c:pt idx="9">
                  <c:v>0.10254524796150251</c:v>
                </c:pt>
                <c:pt idx="10">
                  <c:v>0.11398756850688414</c:v>
                </c:pt>
                <c:pt idx="11">
                  <c:v>0.1281701644165219</c:v>
                </c:pt>
                <c:pt idx="12">
                  <c:v>0.1361904825558081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9-4431-88F4-434AF1A3A6A2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S'!$N$36:$N$115</c:f>
              <c:numCache>
                <c:formatCode>0%</c:formatCode>
                <c:ptCount val="8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0.1361904825558081</c:v>
                </c:pt>
                <c:pt idx="14">
                  <c:v>0.15219101724368406</c:v>
                </c:pt>
                <c:pt idx="15">
                  <c:v>0.16558494853629199</c:v>
                </c:pt>
                <c:pt idx="16">
                  <c:v>0.18105079534821555</c:v>
                </c:pt>
                <c:pt idx="17">
                  <c:v>0.18905507285122317</c:v>
                </c:pt>
                <c:pt idx="18">
                  <c:v>0.20710078866461709</c:v>
                </c:pt>
                <c:pt idx="19">
                  <c:v>0.20710078866461709</c:v>
                </c:pt>
                <c:pt idx="20">
                  <c:v>0.20710078866461709</c:v>
                </c:pt>
                <c:pt idx="21">
                  <c:v>0.23063119903756191</c:v>
                </c:pt>
                <c:pt idx="22">
                  <c:v>0.24744713273626531</c:v>
                </c:pt>
                <c:pt idx="23">
                  <c:v>0.27308541638818351</c:v>
                </c:pt>
                <c:pt idx="24">
                  <c:v>0.27308541638818351</c:v>
                </c:pt>
                <c:pt idx="25">
                  <c:v>0.2810790001336721</c:v>
                </c:pt>
                <c:pt idx="26">
                  <c:v>0.2810790001336721</c:v>
                </c:pt>
                <c:pt idx="27">
                  <c:v>0.2810790001336721</c:v>
                </c:pt>
                <c:pt idx="28">
                  <c:v>0.2810790001336721</c:v>
                </c:pt>
                <c:pt idx="29">
                  <c:v>0.29516802566501815</c:v>
                </c:pt>
                <c:pt idx="30">
                  <c:v>0.31414944526132882</c:v>
                </c:pt>
                <c:pt idx="31">
                  <c:v>0.32687501670899627</c:v>
                </c:pt>
                <c:pt idx="32">
                  <c:v>0.34319636412244364</c:v>
                </c:pt>
                <c:pt idx="33">
                  <c:v>0.34319636412244364</c:v>
                </c:pt>
                <c:pt idx="34">
                  <c:v>0.34319636412244364</c:v>
                </c:pt>
                <c:pt idx="35">
                  <c:v>0.35700000000000015</c:v>
                </c:pt>
                <c:pt idx="36">
                  <c:v>0.36325237267744975</c:v>
                </c:pt>
                <c:pt idx="37">
                  <c:v>0.37089520117631347</c:v>
                </c:pt>
                <c:pt idx="38">
                  <c:v>0.3791547921400884</c:v>
                </c:pt>
                <c:pt idx="39">
                  <c:v>0.38094519449271508</c:v>
                </c:pt>
                <c:pt idx="40">
                  <c:v>0.38094519449271508</c:v>
                </c:pt>
                <c:pt idx="41">
                  <c:v>0.38094519449271508</c:v>
                </c:pt>
                <c:pt idx="42">
                  <c:v>0.38094519449271508</c:v>
                </c:pt>
                <c:pt idx="43">
                  <c:v>0.38094519449271508</c:v>
                </c:pt>
                <c:pt idx="44">
                  <c:v>0.38094519449271508</c:v>
                </c:pt>
                <c:pt idx="45">
                  <c:v>0.38094519449271508</c:v>
                </c:pt>
                <c:pt idx="46">
                  <c:v>0.38094519449271508</c:v>
                </c:pt>
                <c:pt idx="47">
                  <c:v>0.38094519449271508</c:v>
                </c:pt>
                <c:pt idx="48">
                  <c:v>0.38094519449271508</c:v>
                </c:pt>
                <c:pt idx="49">
                  <c:v>0.38094519449271508</c:v>
                </c:pt>
                <c:pt idx="50">
                  <c:v>0.38094519449271508</c:v>
                </c:pt>
                <c:pt idx="51">
                  <c:v>0.38094519449271508</c:v>
                </c:pt>
                <c:pt idx="52">
                  <c:v>0.38094519449271508</c:v>
                </c:pt>
                <c:pt idx="53">
                  <c:v>0.38094519449271508</c:v>
                </c:pt>
                <c:pt idx="54">
                  <c:v>0.38094519449271508</c:v>
                </c:pt>
                <c:pt idx="55">
                  <c:v>0.38094519449271508</c:v>
                </c:pt>
                <c:pt idx="56">
                  <c:v>0.38094519449271508</c:v>
                </c:pt>
                <c:pt idx="57">
                  <c:v>0.38094519449271508</c:v>
                </c:pt>
                <c:pt idx="58">
                  <c:v>0.38094519449271508</c:v>
                </c:pt>
                <c:pt idx="59">
                  <c:v>0.38094519449271508</c:v>
                </c:pt>
                <c:pt idx="60">
                  <c:v>0.38094519449271508</c:v>
                </c:pt>
                <c:pt idx="61">
                  <c:v>0.38094519449271508</c:v>
                </c:pt>
                <c:pt idx="62">
                  <c:v>0.38094519449271508</c:v>
                </c:pt>
                <c:pt idx="63">
                  <c:v>0.38094519449271508</c:v>
                </c:pt>
                <c:pt idx="64">
                  <c:v>0.38094519449271508</c:v>
                </c:pt>
                <c:pt idx="65">
                  <c:v>0.38094519449271508</c:v>
                </c:pt>
                <c:pt idx="66">
                  <c:v>0.38094519449271508</c:v>
                </c:pt>
                <c:pt idx="67">
                  <c:v>0.38094519449271508</c:v>
                </c:pt>
                <c:pt idx="68">
                  <c:v>0.38094519449271508</c:v>
                </c:pt>
                <c:pt idx="69">
                  <c:v>0.38094519449271508</c:v>
                </c:pt>
                <c:pt idx="70">
                  <c:v>0.38094519449271508</c:v>
                </c:pt>
                <c:pt idx="71">
                  <c:v>0.38094519449271508</c:v>
                </c:pt>
                <c:pt idx="72">
                  <c:v>0.38094519449271508</c:v>
                </c:pt>
                <c:pt idx="73">
                  <c:v>0.38094519449271508</c:v>
                </c:pt>
                <c:pt idx="74">
                  <c:v>0.38094519449271508</c:v>
                </c:pt>
                <c:pt idx="75">
                  <c:v>0.38094519449271508</c:v>
                </c:pt>
                <c:pt idx="76">
                  <c:v>0.38094519449271508</c:v>
                </c:pt>
                <c:pt idx="77">
                  <c:v>0.38094519449271508</c:v>
                </c:pt>
                <c:pt idx="78">
                  <c:v>0.38094519449271508</c:v>
                </c:pt>
                <c:pt idx="79">
                  <c:v>0.38094519449271508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89-4431-88F4-434AF1A3A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r>
              <a:rPr lang="pt-BR" sz="1400"/>
              <a:t>Curva S Semanal- Preparação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Preparação'!$B$36:$B$41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Preparação'!$E$36:$E$41</c:f>
              <c:numCache>
                <c:formatCode>0%</c:formatCode>
                <c:ptCount val="6"/>
                <c:pt idx="0">
                  <c:v>9.7724227698597399E-2</c:v>
                </c:pt>
                <c:pt idx="1">
                  <c:v>0.29772422769859741</c:v>
                </c:pt>
                <c:pt idx="2">
                  <c:v>0.49772422769859742</c:v>
                </c:pt>
                <c:pt idx="3">
                  <c:v>0.69772422769859743</c:v>
                </c:pt>
                <c:pt idx="4">
                  <c:v>0.89772422769859739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3-4739-8A23-F8327C41EA3C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Preparação'!$M$36:$M$41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3-4739-8A23-F8327C41EA3C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>
                    <a:solidFill>
                      <a:srgbClr val="00B05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Preparação'!$N$36:$N$41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3-4739-8A23-F8327C41E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 sz="1400"/>
              <a:t>Curva S</a:t>
            </a:r>
            <a:r>
              <a:rPr lang="pt-BR" sz="1400" baseline="0"/>
              <a:t> Semanal - Montagem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27207110474827E-3"/>
          <c:y val="0.12970778175888778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Montagem'!$B$36:$B$41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Montagem'!$E$36:$E$41</c:f>
              <c:numCache>
                <c:formatCode>0%</c:formatCode>
                <c:ptCount val="6"/>
                <c:pt idx="0">
                  <c:v>0.12663217726839857</c:v>
                </c:pt>
                <c:pt idx="1">
                  <c:v>0.32663217726839855</c:v>
                </c:pt>
                <c:pt idx="2">
                  <c:v>0.5266321772683985</c:v>
                </c:pt>
                <c:pt idx="3">
                  <c:v>0.72663217726839857</c:v>
                </c:pt>
                <c:pt idx="4">
                  <c:v>0.92663217726839853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8-47CA-BB5E-A4F855F5A897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Montagem'!$M$36:$M$41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8-47CA-BB5E-A4F855F5A897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Montagem'!$N$36:$N$41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8-47CA-BB5E-A4F855F5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 sz="1400"/>
              <a:t>Curva S Semanal - Soldagem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Soldagem'!$B$36:$B$41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Soldagem'!$E$36:$E$41</c:f>
              <c:numCache>
                <c:formatCode>0%</c:formatCode>
                <c:ptCount val="6"/>
                <c:pt idx="0">
                  <c:v>0.12834207201765077</c:v>
                </c:pt>
                <c:pt idx="1">
                  <c:v>0.32834207201765075</c:v>
                </c:pt>
                <c:pt idx="2">
                  <c:v>0.52834207201765071</c:v>
                </c:pt>
                <c:pt idx="3">
                  <c:v>0.72834207201765078</c:v>
                </c:pt>
                <c:pt idx="4">
                  <c:v>0.92834207201765073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3-490F-A691-5B3DEFC50BE2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Soldagem'!$M$36:$M$41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3-490F-A691-5B3DEFC50BE2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Soldagem'!$N$36:$N$41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23-490F-A691-5B3DEFC50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 sz="1400"/>
              <a:t>Curva S Semanal - Acabamento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Acabamento'!$B$36:$B$41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Acabamento'!$E$36:$E$41</c:f>
              <c:numCache>
                <c:formatCode>0%</c:formatCode>
                <c:ptCount val="6"/>
                <c:pt idx="0">
                  <c:v>0.11112256642477192</c:v>
                </c:pt>
                <c:pt idx="1">
                  <c:v>0.31112256642477193</c:v>
                </c:pt>
                <c:pt idx="2">
                  <c:v>0.51112256642477194</c:v>
                </c:pt>
                <c:pt idx="3">
                  <c:v>0.71112256642477201</c:v>
                </c:pt>
                <c:pt idx="4">
                  <c:v>0.91112256642477196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7-4F06-9848-485DB13EE7F4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Acabamento'!$M$36:$M$41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37-4F06-9848-485DB13EE7F4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Acabamento'!$N$36:$N$41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37-4F06-9848-485DB13E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 sz="1400"/>
              <a:t>Curva S Semanal - Pintura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Pintura'!$B$36:$B$41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Pintura'!$E$36:$E$41</c:f>
              <c:numCache>
                <c:formatCode>0%</c:formatCode>
                <c:ptCount val="6"/>
                <c:pt idx="0">
                  <c:v>0.10800681117570056</c:v>
                </c:pt>
                <c:pt idx="1">
                  <c:v>0.30800681117570056</c:v>
                </c:pt>
                <c:pt idx="2">
                  <c:v>0.50800681117570046</c:v>
                </c:pt>
                <c:pt idx="3">
                  <c:v>0.70800681117570052</c:v>
                </c:pt>
                <c:pt idx="4">
                  <c:v>0.90800681117570059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3-481C-8789-3AC04BC706A0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Pintura'!$M$36:$M$41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3-481C-8789-3AC04BC706A0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Pintura'!$N$36:$N$41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63-481C-8789-3AC04BC7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Semanal - Preparação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Preparação'!$B$36:$B$41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Preparação'!$E$36:$E$41</c:f>
              <c:numCache>
                <c:formatCode>0%</c:formatCode>
                <c:ptCount val="6"/>
                <c:pt idx="0">
                  <c:v>9.7724227698597399E-2</c:v>
                </c:pt>
                <c:pt idx="1">
                  <c:v>0.29772422769859741</c:v>
                </c:pt>
                <c:pt idx="2">
                  <c:v>0.49772422769859742</c:v>
                </c:pt>
                <c:pt idx="3">
                  <c:v>0.69772422769859743</c:v>
                </c:pt>
                <c:pt idx="4">
                  <c:v>0.89772422769859739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6-4070-A6D3-B69F699BC417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Preparação'!$M$36:$M$41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6-4070-A6D3-B69F699BC417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Preparação'!$N$36:$N$41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B6-4070-A6D3-B69F699B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Semanal -</a:t>
            </a:r>
            <a:r>
              <a:rPr lang="pt-BR" baseline="0"/>
              <a:t> Montagem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Montagem'!$B$36:$B$41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Montagem'!$E$36:$E$41</c:f>
              <c:numCache>
                <c:formatCode>0%</c:formatCode>
                <c:ptCount val="6"/>
                <c:pt idx="0">
                  <c:v>0.12663217726839857</c:v>
                </c:pt>
                <c:pt idx="1">
                  <c:v>0.32663217726839855</c:v>
                </c:pt>
                <c:pt idx="2">
                  <c:v>0.5266321772683985</c:v>
                </c:pt>
                <c:pt idx="3">
                  <c:v>0.72663217726839857</c:v>
                </c:pt>
                <c:pt idx="4">
                  <c:v>0.92663217726839853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0-4508-A0A8-660CCFAC2F65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Montagem'!$M$36:$M$41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0-4508-A0A8-660CCFAC2F65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Montagem'!$N$36:$N$41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00-4508-A0A8-660CCFAC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Semanal Soldagem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Soldagem'!$B$36:$B$41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Soldagem'!$E$36:$E$41</c:f>
              <c:numCache>
                <c:formatCode>0%</c:formatCode>
                <c:ptCount val="6"/>
                <c:pt idx="0">
                  <c:v>0.12834207201765077</c:v>
                </c:pt>
                <c:pt idx="1">
                  <c:v>0.32834207201765075</c:v>
                </c:pt>
                <c:pt idx="2">
                  <c:v>0.52834207201765071</c:v>
                </c:pt>
                <c:pt idx="3">
                  <c:v>0.72834207201765078</c:v>
                </c:pt>
                <c:pt idx="4">
                  <c:v>0.92834207201765073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C-49BD-A174-369AED1C9486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Soldagem'!$M$36:$M$41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C-49BD-A174-369AED1C9486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Soldagem'!$N$36:$N$41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4C-49BD-A174-369AED1C9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Semanal Acabamento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Acabamento'!$B$36:$B$41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Acabamento'!$E$36:$E$41</c:f>
              <c:numCache>
                <c:formatCode>0%</c:formatCode>
                <c:ptCount val="6"/>
                <c:pt idx="0">
                  <c:v>0.11112256642477192</c:v>
                </c:pt>
                <c:pt idx="1">
                  <c:v>0.31112256642477193</c:v>
                </c:pt>
                <c:pt idx="2">
                  <c:v>0.51112256642477194</c:v>
                </c:pt>
                <c:pt idx="3">
                  <c:v>0.71112256642477201</c:v>
                </c:pt>
                <c:pt idx="4">
                  <c:v>0.91112256642477196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D-4FAC-A14C-34BAF6BC442A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Acabamento'!$M$36:$M$41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D-4FAC-A14C-34BAF6BC442A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Acabamento'!$N$36:$N$41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D-4FAC-A14C-34BAF6BC4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pt-BR"/>
              <a:t>Curva S Semanal Pintura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666255342198833E-3"/>
          <c:y val="0.13879043572238892"/>
          <c:w val="0.99056851853413019"/>
          <c:h val="0.62614736295078166"/>
        </c:manualLayout>
      </c:layout>
      <c:lineChart>
        <c:grouping val="standard"/>
        <c:varyColors val="1"/>
        <c:ser>
          <c:idx val="0"/>
          <c:order val="0"/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 Pintura'!$B$36:$B$41</c:f>
              <c:numCache>
                <c:formatCode>m/d/yyyy</c:formatCode>
                <c:ptCount val="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</c:numCache>
            </c:numRef>
          </c:cat>
          <c:val>
            <c:numRef>
              <c:f>'Curva S Pintura'!$E$36:$E$41</c:f>
              <c:numCache>
                <c:formatCode>0%</c:formatCode>
                <c:ptCount val="6"/>
                <c:pt idx="0">
                  <c:v>0.10800681117570056</c:v>
                </c:pt>
                <c:pt idx="1">
                  <c:v>0.30800681117570056</c:v>
                </c:pt>
                <c:pt idx="2">
                  <c:v>0.50800681117570046</c:v>
                </c:pt>
                <c:pt idx="3">
                  <c:v>0.70800681117570052</c:v>
                </c:pt>
                <c:pt idx="4">
                  <c:v>0.90800681117570059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2-41DB-8618-25D03D2C3C6B}"/>
            </c:ext>
          </c:extLst>
        </c:ser>
        <c:ser>
          <c:idx val="2"/>
          <c:order val="1"/>
          <c:tx>
            <c:v>Verde</c:v>
          </c:tx>
          <c:spPr>
            <a:ln w="381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'Curva S Pintura'!$M$36:$M$41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2-41DB-8618-25D03D2C3C6B}"/>
            </c:ext>
          </c:extLst>
        </c:ser>
        <c:ser>
          <c:idx val="3"/>
          <c:order val="2"/>
          <c:tx>
            <c:v>Vermelho</c:v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'Curva S Pintura'!$N$36:$N$41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2-41DB-8618-25D03D2C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Peso planejado por área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Qtd. tarefas</c:v>
          </c:tx>
          <c:invertIfNegative val="1"/>
          <c:cat>
            <c:strRef>
              <c:f>'Resumo por Área'!$A$4:$A$5</c:f>
              <c:strCache>
                <c:ptCount val="2"/>
                <c:pt idx="0">
                  <c:v>Estação de Emenda</c:v>
                </c:pt>
                <c:pt idx="1">
                  <c:v>Plataforma do Bobinador</c:v>
                </c:pt>
              </c:strCache>
            </c:strRef>
          </c:cat>
          <c:val>
            <c:numRef>
              <c:f>'Resumo por Área'!$B$4:$B$5</c:f>
              <c:numCache>
                <c:formatCode>General</c:formatCode>
                <c:ptCount val="2"/>
                <c:pt idx="0">
                  <c:v>121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5-4718-992D-656B074A3C85}"/>
            </c:ext>
          </c:extLst>
        </c:ser>
        <c:ser>
          <c:idx val="1"/>
          <c:order val="1"/>
          <c:tx>
            <c:v>Peso planejado (kg)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por Área'!$A$4:$A$5</c:f>
              <c:strCache>
                <c:ptCount val="2"/>
                <c:pt idx="0">
                  <c:v>Estação de Emenda</c:v>
                </c:pt>
                <c:pt idx="1">
                  <c:v>Plataforma do Bobinador</c:v>
                </c:pt>
              </c:strCache>
            </c:strRef>
          </c:cat>
          <c:val>
            <c:numRef>
              <c:f>'Resumo por Área'!$C$4:$C$5</c:f>
              <c:numCache>
                <c:formatCode>#,##0.00</c:formatCode>
                <c:ptCount val="2"/>
                <c:pt idx="0">
                  <c:v>131189.4</c:v>
                </c:pt>
                <c:pt idx="1">
                  <c:v>36473.699999999997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5-4718-992D-656B074A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0.xml"/><Relationship Id="rId4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1.xml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AD99CDD-B594-4D2E-B5D4-EE1405A30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7619</xdr:colOff>
      <xdr:row>5</xdr:row>
      <xdr:rowOff>110490</xdr:rowOff>
    </xdr:from>
    <xdr:to>
      <xdr:col>3</xdr:col>
      <xdr:colOff>739140</xdr:colOff>
      <xdr:row>9</xdr:row>
      <xdr:rowOff>38100</xdr:rowOff>
    </xdr:to>
    <xdr:sp macro="" textlink="$M$2">
      <xdr:nvSpPr>
        <xdr:cNvPr id="14" name="Retângulo 12">
          <a:extLst>
            <a:ext uri="{FF2B5EF4-FFF2-40B4-BE49-F238E27FC236}">
              <a16:creationId xmlns:a16="http://schemas.microsoft.com/office/drawing/2014/main" id="{7FCCE7A6-5367-E9E0-9E9B-067C89DE648A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446019" y="758190"/>
          <a:ext cx="731521" cy="44577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64,25%</a:t>
          </a:fld>
          <a:endParaRPr lang="pt-BR" sz="24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0.782</cdr:x>
      <cdr:y>0.39386</cdr:y>
    </cdr:from>
    <cdr:to>
      <cdr:x>0.86327</cdr:x>
      <cdr:y>0.54476</cdr:y>
    </cdr:to>
    <cdr:sp macro="" textlink="'Curva S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699132" y="1173479"/>
          <a:ext cx="800100" cy="44958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-26,16%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4709159" cy="2598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8AB28044-52D7-4575-BF27-8F619C338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320040</xdr:colOff>
      <xdr:row>3</xdr:row>
      <xdr:rowOff>114300</xdr:rowOff>
    </xdr:from>
    <xdr:to>
      <xdr:col>2</xdr:col>
      <xdr:colOff>304800</xdr:colOff>
      <xdr:row>5</xdr:row>
      <xdr:rowOff>129540</xdr:rowOff>
    </xdr:to>
    <xdr:sp macro="" textlink="'Curva S Preparação'!M2">
      <xdr:nvSpPr>
        <xdr:cNvPr id="3" name="Retângulo 12">
          <a:extLst>
            <a:ext uri="{FF2B5EF4-FFF2-40B4-BE49-F238E27FC236}">
              <a16:creationId xmlns:a16="http://schemas.microsoft.com/office/drawing/2014/main" id="{E072FE70-3E69-4155-B96C-232E21DF073C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990600" y="640080"/>
          <a:ext cx="655320" cy="36576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DAE5D0-B499-40D8-ACD7-AE43D256A4D3}" type="TxLink">
            <a:rPr lang="en-US" sz="10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4400"/>
        </a:p>
      </xdr:txBody>
    </xdr:sp>
    <xdr:clientData/>
  </xdr:twoCellAnchor>
  <xdr:oneCellAnchor>
    <xdr:from>
      <xdr:col>7</xdr:col>
      <xdr:colOff>22860</xdr:colOff>
      <xdr:row>0</xdr:row>
      <xdr:rowOff>0</xdr:rowOff>
    </xdr:from>
    <xdr:ext cx="4693920" cy="261366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EC7468AE-8E25-49DD-8826-B1AA6A4BC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9</xdr:col>
      <xdr:colOff>15240</xdr:colOff>
      <xdr:row>3</xdr:row>
      <xdr:rowOff>144780</xdr:rowOff>
    </xdr:from>
    <xdr:to>
      <xdr:col>9</xdr:col>
      <xdr:colOff>640080</xdr:colOff>
      <xdr:row>5</xdr:row>
      <xdr:rowOff>129540</xdr:rowOff>
    </xdr:to>
    <xdr:sp macro="" textlink="'Curva S Montagem'!M2">
      <xdr:nvSpPr>
        <xdr:cNvPr id="5" name="Retângulo 12">
          <a:extLst>
            <a:ext uri="{FF2B5EF4-FFF2-40B4-BE49-F238E27FC236}">
              <a16:creationId xmlns:a16="http://schemas.microsoft.com/office/drawing/2014/main" id="{A4552888-6600-375F-27D9-1758F02D8196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6050280" y="670560"/>
          <a:ext cx="624840" cy="33528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26081E-7B05-4DAC-B9D4-484B4FF76162}" type="TxLink">
            <a:rPr lang="en-US" sz="12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9600"/>
        </a:p>
      </xdr:txBody>
    </xdr:sp>
    <xdr:clientData/>
  </xdr:twoCellAnchor>
  <xdr:oneCellAnchor>
    <xdr:from>
      <xdr:col>0</xdr:col>
      <xdr:colOff>0</xdr:colOff>
      <xdr:row>14</xdr:row>
      <xdr:rowOff>160020</xdr:rowOff>
    </xdr:from>
    <xdr:ext cx="4686300" cy="27432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F122FF3F-A2E2-42E1-BE71-056DD1A71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</xdr:col>
      <xdr:colOff>624840</xdr:colOff>
      <xdr:row>19</xdr:row>
      <xdr:rowOff>83820</xdr:rowOff>
    </xdr:from>
    <xdr:to>
      <xdr:col>2</xdr:col>
      <xdr:colOff>662940</xdr:colOff>
      <xdr:row>21</xdr:row>
      <xdr:rowOff>45720</xdr:rowOff>
    </xdr:to>
    <xdr:sp macro="" textlink="'Curva S Soldagem'!M2">
      <xdr:nvSpPr>
        <xdr:cNvPr id="7" name="Retângulo 12">
          <a:extLst>
            <a:ext uri="{FF2B5EF4-FFF2-40B4-BE49-F238E27FC236}">
              <a16:creationId xmlns:a16="http://schemas.microsoft.com/office/drawing/2014/main" id="{B31635A5-8582-478E-9FB6-F54502D6D7AD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1295400" y="3413760"/>
          <a:ext cx="708660" cy="31242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9C135B5-5CAB-4E2A-AD2E-60C4746E1483}" type="TxLink">
            <a:rPr lang="en-US" sz="10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6000"/>
        </a:p>
      </xdr:txBody>
    </xdr:sp>
    <xdr:clientData/>
  </xdr:twoCellAnchor>
  <xdr:oneCellAnchor>
    <xdr:from>
      <xdr:col>7</xdr:col>
      <xdr:colOff>15240</xdr:colOff>
      <xdr:row>14</xdr:row>
      <xdr:rowOff>137160</xdr:rowOff>
    </xdr:from>
    <xdr:ext cx="4663440" cy="2743200"/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ED9D0071-10E0-4D38-8AA0-E7615FD76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8</xdr:col>
      <xdr:colOff>480060</xdr:colOff>
      <xdr:row>18</xdr:row>
      <xdr:rowOff>144780</xdr:rowOff>
    </xdr:from>
    <xdr:to>
      <xdr:col>9</xdr:col>
      <xdr:colOff>518160</xdr:colOff>
      <xdr:row>20</xdr:row>
      <xdr:rowOff>106680</xdr:rowOff>
    </xdr:to>
    <xdr:sp macro="" textlink="'Curva S Acabamento'!M2">
      <xdr:nvSpPr>
        <xdr:cNvPr id="9" name="Retângulo 12">
          <a:extLst>
            <a:ext uri="{FF2B5EF4-FFF2-40B4-BE49-F238E27FC236}">
              <a16:creationId xmlns:a16="http://schemas.microsoft.com/office/drawing/2014/main" id="{CCDD85CD-7A7C-4D1B-8D9D-3C899404F47E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5844540" y="3299460"/>
          <a:ext cx="708660" cy="31242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95112C-7B54-4E30-B199-B066600FFDAF}" type="TxLink">
            <a:rPr lang="en-US" sz="10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7200"/>
        </a:p>
      </xdr:txBody>
    </xdr:sp>
    <xdr:clientData/>
  </xdr:twoCellAnchor>
  <xdr:oneCellAnchor>
    <xdr:from>
      <xdr:col>14</xdr:col>
      <xdr:colOff>7620</xdr:colOff>
      <xdr:row>0</xdr:row>
      <xdr:rowOff>0</xdr:rowOff>
    </xdr:from>
    <xdr:ext cx="4709160" cy="2606040"/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E3BF9B25-1EE0-45C5-B882-84C189B78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15</xdr:col>
      <xdr:colOff>579120</xdr:colOff>
      <xdr:row>4</xdr:row>
      <xdr:rowOff>22860</xdr:rowOff>
    </xdr:from>
    <xdr:to>
      <xdr:col>16</xdr:col>
      <xdr:colOff>617220</xdr:colOff>
      <xdr:row>5</xdr:row>
      <xdr:rowOff>160020</xdr:rowOff>
    </xdr:to>
    <xdr:sp macro="" textlink="'Curva S Pintura'!M2">
      <xdr:nvSpPr>
        <xdr:cNvPr id="11" name="Retângulo 12">
          <a:extLst>
            <a:ext uri="{FF2B5EF4-FFF2-40B4-BE49-F238E27FC236}">
              <a16:creationId xmlns:a16="http://schemas.microsoft.com/office/drawing/2014/main" id="{B20769CE-BD7C-42F0-9E8F-6863E70F8EB1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10637520" y="723900"/>
          <a:ext cx="708660" cy="31242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398DE6-4F38-4681-A220-C5A101CAFFDD}" type="TxLink">
            <a:rPr lang="en-US" sz="10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88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0.69044</cdr:x>
      <cdr:y>0.33793</cdr:y>
    </cdr:from>
    <cdr:to>
      <cdr:x>0.85575</cdr:x>
      <cdr:y>0.43158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3246120" y="942473"/>
          <a:ext cx="777240" cy="2611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0.1466</cdr:x>
      <cdr:y>0.16571</cdr:y>
    </cdr:from>
    <cdr:to>
      <cdr:x>0.41329</cdr:x>
      <cdr:y>0.27013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689257" y="462161"/>
          <a:ext cx="1253842" cy="291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0.73096</cdr:x>
      <cdr:y>0.42938</cdr:y>
    </cdr:from>
    <cdr:to>
      <cdr:x>0.85575</cdr:x>
      <cdr:y>0.55425</cdr:y>
    </cdr:to>
    <cdr:sp macro="" textlink="'Curva S Preparação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3442189" y="1115707"/>
          <a:ext cx="587691" cy="324473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0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1400" b="1" kern="1200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0.92695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3637178" y="860999"/>
          <a:ext cx="713842" cy="26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0.50325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969623" y="486346"/>
          <a:ext cx="1392577" cy="2920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0.782</cdr:x>
      <cdr:y>0.39386</cdr:y>
    </cdr:from>
    <cdr:to>
      <cdr:x>0.89612</cdr:x>
      <cdr:y>0.5102</cdr:y>
    </cdr:to>
    <cdr:sp macro="" textlink="'Curva S Montagem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3670645" y="1029416"/>
          <a:ext cx="535679" cy="304084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0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1400" b="1" kern="1200">
            <a:solidFill>
              <a:srgbClr val="FF00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0.75707</cdr:x>
      <cdr:y>0.30788</cdr:y>
    </cdr:from>
    <cdr:to>
      <cdr:x>0.8835</cdr:x>
      <cdr:y>0.38956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3565167" y="584165"/>
          <a:ext cx="595353" cy="154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0.49676</cdr:x>
      <cdr:y>0.27711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972771" y="329973"/>
          <a:ext cx="1366569" cy="1958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0.75728</cdr:x>
      <cdr:y>0.39386</cdr:y>
    </cdr:from>
    <cdr:to>
      <cdr:x>0.88673</cdr:x>
      <cdr:y>0.50833</cdr:y>
    </cdr:to>
    <cdr:sp macro="" textlink="'Curva S Soldagem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3548849" y="1080437"/>
          <a:ext cx="606639" cy="314023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05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1600" b="1" kern="1200">
            <a:solidFill>
              <a:srgbClr val="FF0000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0.91993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3613560" y="844576"/>
          <a:ext cx="676500" cy="256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0.47222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963327" y="477070"/>
          <a:ext cx="1238853" cy="286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0.782</cdr:x>
      <cdr:y>0.39386</cdr:y>
    </cdr:from>
    <cdr:to>
      <cdr:x>0.90686</cdr:x>
      <cdr:y>0.51389</cdr:y>
    </cdr:to>
    <cdr:sp macro="" textlink="'Curva S Acabamento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3646810" y="1080437"/>
          <a:ext cx="582290" cy="329263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0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1400" b="1" kern="1200">
            <a:solidFill>
              <a:srgbClr val="FF0000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0.90615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3648987" y="802348"/>
          <a:ext cx="618213" cy="244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0.4822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972771" y="453216"/>
          <a:ext cx="1297989" cy="272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0.782</cdr:x>
      <cdr:y>0.39386</cdr:y>
    </cdr:from>
    <cdr:to>
      <cdr:x>0.89482</cdr:x>
      <cdr:y>0.54476</cdr:y>
    </cdr:to>
    <cdr:sp macro="" textlink="'Curva S Pintura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3682562" y="1026415"/>
          <a:ext cx="531297" cy="393251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0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1400" b="1" kern="1200">
            <a:solidFill>
              <a:srgbClr val="FF0000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984D0437-BA9E-44A0-8E03-97537B301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906779</xdr:colOff>
      <xdr:row>6</xdr:row>
      <xdr:rowOff>68580</xdr:rowOff>
    </xdr:from>
    <xdr:to>
      <xdr:col>3</xdr:col>
      <xdr:colOff>657224</xdr:colOff>
      <xdr:row>9</xdr:row>
      <xdr:rowOff>11430</xdr:rowOff>
    </xdr:to>
    <xdr:sp macro="" textlink="$M$2">
      <xdr:nvSpPr>
        <xdr:cNvPr id="3" name="Retângulo 12">
          <a:extLst>
            <a:ext uri="{FF2B5EF4-FFF2-40B4-BE49-F238E27FC236}">
              <a16:creationId xmlns:a16="http://schemas.microsoft.com/office/drawing/2014/main" id="{E601C13D-2B2E-4680-8536-F3E530942FFA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430779" y="845820"/>
          <a:ext cx="664845" cy="33147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2400"/>
        </a:p>
      </xdr:txBody>
    </xdr:sp>
    <xdr:clientData/>
  </xdr:twoCellAnchor>
  <xdr:twoCellAnchor editAs="oneCell">
    <xdr:from>
      <xdr:col>0</xdr:col>
      <xdr:colOff>0</xdr:colOff>
      <xdr:row>61</xdr:row>
      <xdr:rowOff>84284</xdr:rowOff>
    </xdr:from>
    <xdr:to>
      <xdr:col>6</xdr:col>
      <xdr:colOff>937260</xdr:colOff>
      <xdr:row>82</xdr:row>
      <xdr:rowOff>48222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7B0D44B-3BA1-5EE0-3459-6183F4B80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74844"/>
          <a:ext cx="6492240" cy="2684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99060</xdr:rowOff>
    </xdr:from>
    <xdr:to>
      <xdr:col>6</xdr:col>
      <xdr:colOff>940658</xdr:colOff>
      <xdr:row>61</xdr:row>
      <xdr:rowOff>101408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1293ECD-DE6F-FA33-7A35-F2E57AB3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28360"/>
          <a:ext cx="6495638" cy="2463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76200</xdr:rowOff>
    </xdr:from>
    <xdr:to>
      <xdr:col>6</xdr:col>
      <xdr:colOff>853440</xdr:colOff>
      <xdr:row>100</xdr:row>
      <xdr:rowOff>34782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390CA5F-053F-7000-3ABC-BEFDE82EE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087100"/>
          <a:ext cx="6408420" cy="2290302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0.7851</cdr:x>
      <cdr:y>0.40153</cdr:y>
    </cdr:from>
    <cdr:to>
      <cdr:x>0.85784</cdr:x>
      <cdr:y>0.51918</cdr:y>
    </cdr:to>
    <cdr:sp macro="" textlink="'Curva S Preparação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729611" y="1196339"/>
          <a:ext cx="716235" cy="35053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AE5CF77B-FBCE-4483-A191-D0E247DB8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899159</xdr:colOff>
      <xdr:row>6</xdr:row>
      <xdr:rowOff>45720</xdr:rowOff>
    </xdr:from>
    <xdr:to>
      <xdr:col>3</xdr:col>
      <xdr:colOff>664844</xdr:colOff>
      <xdr:row>9</xdr:row>
      <xdr:rowOff>11430</xdr:rowOff>
    </xdr:to>
    <xdr:sp macro="" textlink="$M$2">
      <xdr:nvSpPr>
        <xdr:cNvPr id="3" name="Retângulo 12">
          <a:extLst>
            <a:ext uri="{FF2B5EF4-FFF2-40B4-BE49-F238E27FC236}">
              <a16:creationId xmlns:a16="http://schemas.microsoft.com/office/drawing/2014/main" id="{FDB0D42E-158A-4190-8B81-D118D8065234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423159" y="822960"/>
          <a:ext cx="680085" cy="35433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2400"/>
        </a:p>
      </xdr:txBody>
    </xdr:sp>
    <xdr:clientData/>
  </xdr:twoCellAnchor>
  <xdr:twoCellAnchor editAs="oneCell">
    <xdr:from>
      <xdr:col>0</xdr:col>
      <xdr:colOff>0</xdr:colOff>
      <xdr:row>61</xdr:row>
      <xdr:rowOff>114764</xdr:rowOff>
    </xdr:from>
    <xdr:to>
      <xdr:col>6</xdr:col>
      <xdr:colOff>937260</xdr:colOff>
      <xdr:row>82</xdr:row>
      <xdr:rowOff>78702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9303FA8-7A69-4D2F-9590-CE3B1CF72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5324"/>
          <a:ext cx="6492240" cy="2684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940658</xdr:colOff>
      <xdr:row>62</xdr:row>
      <xdr:rowOff>2348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82F5298-F23F-4780-9574-D96CD65D0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58840"/>
          <a:ext cx="6495638" cy="2463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106680</xdr:rowOff>
    </xdr:from>
    <xdr:to>
      <xdr:col>6</xdr:col>
      <xdr:colOff>853440</xdr:colOff>
      <xdr:row>100</xdr:row>
      <xdr:rowOff>65262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BB6A887-2597-4E07-874D-C8EFD703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117580"/>
          <a:ext cx="6408420" cy="2290302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0.78974</cdr:x>
      <cdr:y>0.39386</cdr:y>
    </cdr:from>
    <cdr:to>
      <cdr:x>0.86017</cdr:x>
      <cdr:y>0.50128</cdr:y>
    </cdr:to>
    <cdr:sp macro="" textlink="'Curva S Montagem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775331" y="1173479"/>
          <a:ext cx="693375" cy="32004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71859D2-36F8-4926-A764-0129923CF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862965</xdr:colOff>
      <xdr:row>6</xdr:row>
      <xdr:rowOff>15240</xdr:rowOff>
    </xdr:from>
    <xdr:to>
      <xdr:col>3</xdr:col>
      <xdr:colOff>800100</xdr:colOff>
      <xdr:row>8</xdr:row>
      <xdr:rowOff>118110</xdr:rowOff>
    </xdr:to>
    <xdr:sp macro="" textlink="$M$2">
      <xdr:nvSpPr>
        <xdr:cNvPr id="3" name="Retângulo 12">
          <a:extLst>
            <a:ext uri="{FF2B5EF4-FFF2-40B4-BE49-F238E27FC236}">
              <a16:creationId xmlns:a16="http://schemas.microsoft.com/office/drawing/2014/main" id="{1B252B25-9EB2-4D29-BA1E-107AD2455BAD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386965" y="792480"/>
          <a:ext cx="851535" cy="36195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2400"/>
        </a:p>
      </xdr:txBody>
    </xdr:sp>
    <xdr:clientData/>
  </xdr:twoCellAnchor>
  <xdr:twoCellAnchor editAs="oneCell">
    <xdr:from>
      <xdr:col>0</xdr:col>
      <xdr:colOff>0</xdr:colOff>
      <xdr:row>61</xdr:row>
      <xdr:rowOff>114764</xdr:rowOff>
    </xdr:from>
    <xdr:to>
      <xdr:col>6</xdr:col>
      <xdr:colOff>937260</xdr:colOff>
      <xdr:row>82</xdr:row>
      <xdr:rowOff>78702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FF526DF-50D3-4085-97FB-3FC16709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5324"/>
          <a:ext cx="6492240" cy="2684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940658</xdr:colOff>
      <xdr:row>62</xdr:row>
      <xdr:rowOff>2348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4A0A7C7-ECDB-42D1-AADA-8519A58C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58840"/>
          <a:ext cx="6495638" cy="2463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106680</xdr:rowOff>
    </xdr:from>
    <xdr:to>
      <xdr:col>6</xdr:col>
      <xdr:colOff>853440</xdr:colOff>
      <xdr:row>100</xdr:row>
      <xdr:rowOff>65262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D5116EF-5B26-43BD-AF40-BCFFF112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117580"/>
          <a:ext cx="6408420" cy="2290302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0.78819</cdr:x>
      <cdr:y>0.39386</cdr:y>
    </cdr:from>
    <cdr:to>
      <cdr:x>0.8563</cdr:x>
      <cdr:y>0.51151</cdr:y>
    </cdr:to>
    <cdr:sp macro="" textlink="'Curva S Soldagem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760092" y="1173474"/>
          <a:ext cx="670560" cy="350525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3AA6512A-C4D9-4064-8A38-EE27B8D09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906779</xdr:colOff>
      <xdr:row>5</xdr:row>
      <xdr:rowOff>121920</xdr:rowOff>
    </xdr:from>
    <xdr:to>
      <xdr:col>3</xdr:col>
      <xdr:colOff>687704</xdr:colOff>
      <xdr:row>8</xdr:row>
      <xdr:rowOff>80010</xdr:rowOff>
    </xdr:to>
    <xdr:sp macro="" textlink="$M$2">
      <xdr:nvSpPr>
        <xdr:cNvPr id="3" name="Retângulo 12">
          <a:extLst>
            <a:ext uri="{FF2B5EF4-FFF2-40B4-BE49-F238E27FC236}">
              <a16:creationId xmlns:a16="http://schemas.microsoft.com/office/drawing/2014/main" id="{3768E8A9-123B-46D7-9556-AF29AD1E9190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430779" y="769620"/>
          <a:ext cx="695325" cy="34671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2400"/>
        </a:p>
      </xdr:txBody>
    </xdr:sp>
    <xdr:clientData/>
  </xdr:twoCellAnchor>
  <xdr:twoCellAnchor editAs="oneCell">
    <xdr:from>
      <xdr:col>0</xdr:col>
      <xdr:colOff>0</xdr:colOff>
      <xdr:row>61</xdr:row>
      <xdr:rowOff>114764</xdr:rowOff>
    </xdr:from>
    <xdr:to>
      <xdr:col>6</xdr:col>
      <xdr:colOff>937260</xdr:colOff>
      <xdr:row>82</xdr:row>
      <xdr:rowOff>78702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FDCE5C1-92A7-4028-A7CF-F8619ADA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5324"/>
          <a:ext cx="6492240" cy="2684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940658</xdr:colOff>
      <xdr:row>62</xdr:row>
      <xdr:rowOff>2348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13FA7A4-DE6B-4B7C-9298-42C8340A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58840"/>
          <a:ext cx="6495638" cy="2463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106680</xdr:rowOff>
    </xdr:from>
    <xdr:to>
      <xdr:col>6</xdr:col>
      <xdr:colOff>853440</xdr:colOff>
      <xdr:row>100</xdr:row>
      <xdr:rowOff>65262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CE95741-3A6D-4A3D-9D24-1BD29EB9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117580"/>
          <a:ext cx="6408420" cy="2290302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0.78897</cdr:x>
      <cdr:y>0.39386</cdr:y>
    </cdr:from>
    <cdr:to>
      <cdr:x>0.86017</cdr:x>
      <cdr:y>0.51151</cdr:y>
    </cdr:to>
    <cdr:sp macro="" textlink="'Curva S Acabamento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767711" y="1173474"/>
          <a:ext cx="701041" cy="350525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35168</xdr:colOff>
      <xdr:row>0</xdr:row>
      <xdr:rowOff>7621</xdr:rowOff>
    </xdr:from>
    <xdr:ext cx="9845431" cy="297942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BA1F53F0-12CB-4BEE-81DB-7160BD4AA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906780</xdr:colOff>
      <xdr:row>6</xdr:row>
      <xdr:rowOff>91440</xdr:rowOff>
    </xdr:from>
    <xdr:to>
      <xdr:col>3</xdr:col>
      <xdr:colOff>664844</xdr:colOff>
      <xdr:row>9</xdr:row>
      <xdr:rowOff>83820</xdr:rowOff>
    </xdr:to>
    <xdr:sp macro="" textlink="$M$2">
      <xdr:nvSpPr>
        <xdr:cNvPr id="3" name="Retângulo 12">
          <a:extLst>
            <a:ext uri="{FF2B5EF4-FFF2-40B4-BE49-F238E27FC236}">
              <a16:creationId xmlns:a16="http://schemas.microsoft.com/office/drawing/2014/main" id="{0780D28F-5924-454A-8DC5-16B9F7B757BB}"/>
            </a:ext>
            <a:ext uri="{147F2762-F138-4A5C-976F-8EAC2B608ADB}">
              <a16:predDERef xmlns:a16="http://schemas.microsoft.com/office/drawing/2014/main" pred="{EAD99CDD-B594-4D2E-B5D4-EE1405A30D7F}"/>
            </a:ext>
          </a:extLst>
        </xdr:cNvPr>
        <xdr:cNvSpPr/>
      </xdr:nvSpPr>
      <xdr:spPr>
        <a:xfrm>
          <a:off x="2430780" y="868680"/>
          <a:ext cx="672464" cy="38100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FAD139-7FF9-4637-977C-97127C613B0D}" type="TxLink">
            <a:rPr lang="en-US" sz="1400" b="0" i="0" u="none" strike="noStrike">
              <a:solidFill>
                <a:srgbClr val="000000"/>
              </a:solidFill>
              <a:latin typeface="Carlito"/>
            </a:rPr>
            <a:pPr algn="ctr"/>
            <a:t>#N/D</a:t>
          </a:fld>
          <a:endParaRPr lang="pt-BR" sz="2400"/>
        </a:p>
      </xdr:txBody>
    </xdr:sp>
    <xdr:clientData/>
  </xdr:twoCellAnchor>
  <xdr:twoCellAnchor editAs="oneCell">
    <xdr:from>
      <xdr:col>0</xdr:col>
      <xdr:colOff>0</xdr:colOff>
      <xdr:row>61</xdr:row>
      <xdr:rowOff>114764</xdr:rowOff>
    </xdr:from>
    <xdr:to>
      <xdr:col>6</xdr:col>
      <xdr:colOff>937260</xdr:colOff>
      <xdr:row>82</xdr:row>
      <xdr:rowOff>78702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EDF1212-C6D8-458B-A611-EDCDAF015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5324"/>
          <a:ext cx="6492240" cy="26842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940658</xdr:colOff>
      <xdr:row>62</xdr:row>
      <xdr:rowOff>2348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5DD9A68-0067-40C1-8433-C1AEEC5B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58840"/>
          <a:ext cx="6495638" cy="2463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106680</xdr:rowOff>
    </xdr:from>
    <xdr:to>
      <xdr:col>6</xdr:col>
      <xdr:colOff>853440</xdr:colOff>
      <xdr:row>100</xdr:row>
      <xdr:rowOff>65262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09DFFA9-258F-4A7A-B1AB-9F5EFDF0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117580"/>
          <a:ext cx="6408420" cy="2290302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0.72658</cdr:x>
      <cdr:y>0.32904</cdr:y>
    </cdr:from>
    <cdr:to>
      <cdr:x>0.77596</cdr:x>
      <cdr:y>0.48602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F98E686-E814-1F46-DC8C-6DE75D170579}"/>
            </a:ext>
          </a:extLst>
        </cdr:cNvPr>
        <cdr:cNvSpPr txBox="1"/>
      </cdr:nvSpPr>
      <cdr:spPr>
        <a:xfrm xmlns:a="http://schemas.openxmlformats.org/drawingml/2006/main">
          <a:off x="6959466" y="980351"/>
          <a:ext cx="472965" cy="467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0.77487</cdr:x>
      <cdr:y>0.30788</cdr:y>
    </cdr:from>
    <cdr:to>
      <cdr:x>0.85771</cdr:x>
      <cdr:y>0.40153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B023EDA-F844-247B-7187-9011EF864EA4}"/>
            </a:ext>
          </a:extLst>
        </cdr:cNvPr>
        <cdr:cNvSpPr txBox="1"/>
      </cdr:nvSpPr>
      <cdr:spPr>
        <a:xfrm xmlns:a="http://schemas.openxmlformats.org/drawingml/2006/main">
          <a:off x="7628880" y="917290"/>
          <a:ext cx="815659" cy="279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Desvio</a:t>
          </a:r>
        </a:p>
      </cdr:txBody>
    </cdr:sp>
  </cdr:relSizeAnchor>
  <cdr:relSizeAnchor xmlns:cdr="http://schemas.openxmlformats.org/drawingml/2006/chartDrawing">
    <cdr:from>
      <cdr:x>0.20657</cdr:x>
      <cdr:y>0.17391</cdr:y>
    </cdr:from>
    <cdr:to>
      <cdr:x>0.35526</cdr:x>
      <cdr:y>0.27833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9BC0BF00-6FB7-3AA2-B01A-6FFCF31AA396}"/>
            </a:ext>
          </a:extLst>
        </cdr:cNvPr>
        <cdr:cNvSpPr txBox="1"/>
      </cdr:nvSpPr>
      <cdr:spPr>
        <a:xfrm xmlns:a="http://schemas.openxmlformats.org/drawingml/2006/main">
          <a:off x="2033819" y="518159"/>
          <a:ext cx="1463863" cy="311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kern="1200"/>
            <a:t>Projetado</a:t>
          </a:r>
          <a:r>
            <a:rPr lang="pt-BR" sz="1100" kern="1200" baseline="0"/>
            <a:t> até hoje</a:t>
          </a:r>
          <a:endParaRPr lang="pt-BR" sz="1100" kern="1200"/>
        </a:p>
      </cdr:txBody>
    </cdr:sp>
  </cdr:relSizeAnchor>
  <cdr:relSizeAnchor xmlns:cdr="http://schemas.openxmlformats.org/drawingml/2006/chartDrawing">
    <cdr:from>
      <cdr:x>0.79129</cdr:x>
      <cdr:y>0.39386</cdr:y>
    </cdr:from>
    <cdr:to>
      <cdr:x>0.86481</cdr:x>
      <cdr:y>0.51918</cdr:y>
    </cdr:to>
    <cdr:sp macro="" textlink="'Curva S Pintura'!$M$4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0C8E5025-846B-38AE-4947-1EDAAF9B8628}"/>
            </a:ext>
          </a:extLst>
        </cdr:cNvPr>
        <cdr:cNvSpPr/>
      </cdr:nvSpPr>
      <cdr:spPr>
        <a:xfrm xmlns:a="http://schemas.openxmlformats.org/drawingml/2006/main">
          <a:off x="7790571" y="1173474"/>
          <a:ext cx="723855" cy="373385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D6FC794-155C-4A4A-B672-86F0296750DA}" type="TxLink">
            <a:rPr lang="en-US" sz="1400" b="1" i="0" u="none" strike="noStrike" kern="1200">
              <a:solidFill>
                <a:srgbClr val="FF0000"/>
              </a:solidFill>
              <a:latin typeface="Carlito"/>
            </a:rPr>
            <a:pPr algn="ctr"/>
            <a:t>#N/D</a:t>
          </a:fld>
          <a:endParaRPr lang="pt-BR" sz="2400" b="1" kern="1200">
            <a:solidFill>
              <a:srgbClr val="FF0000"/>
            </a:solidFill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90550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urvaS" displayName="TabelaCurvaS" ref="A35:K115" headerRowDxfId="108" dataDxfId="107" totalsRowDxfId="106">
  <tableColumns count="11">
    <tableColumn id="1" xr3:uid="{00000000-0010-0000-0000-000001000000}" name="Dia" dataDxfId="105"/>
    <tableColumn id="2" xr3:uid="{00000000-0010-0000-0000-000002000000}" name="Data" dataDxfId="104"/>
    <tableColumn id="3" xr3:uid="{00000000-0010-0000-0000-000003000000}" name="Peso planejado dia (kg)" dataDxfId="103"/>
    <tableColumn id="4" xr3:uid="{00000000-0010-0000-0000-000004000000}" name="Peso planejado acum. (kg)" dataDxfId="102"/>
    <tableColumn id="5" xr3:uid="{00000000-0010-0000-0000-000005000000}" name="Avanço planejado (%)" dataDxfId="101" dataCellStyle="Porcentagem"/>
    <tableColumn id="6" xr3:uid="{00000000-0010-0000-0000-000006000000}" name="Peso fabricado dia (kg)" dataDxfId="100"/>
    <tableColumn id="7" xr3:uid="{00000000-0010-0000-0000-000007000000}" name="Peso fabricado acum. (kg)" dataDxfId="99"/>
    <tableColumn id="8" xr3:uid="{00000000-0010-0000-0000-000008000000}" name="Avanço fabricado (%)" dataDxfId="98" dataCellStyle="Porcentagem"/>
    <tableColumn id="9" xr3:uid="{00000000-0010-0000-0000-000009000000}" name="Desvio acum. (kg)" dataDxfId="97"/>
    <tableColumn id="10" xr3:uid="{00000000-0010-0000-0000-00000A000000}" name="Desvio acum. (%)" dataDxfId="96"/>
    <tableColumn id="11" xr3:uid="{00000000-0010-0000-0000-00000B000000}" name="Status" dataDxfId="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98134B-BFEF-4899-8540-7F98DC89B50A}" name="TabelaCurvaS5" displayName="TabelaCurvaS5" ref="A35:K41" headerRowDxfId="92" dataDxfId="91" totalsRowDxfId="90">
  <tableColumns count="11">
    <tableColumn id="1" xr3:uid="{76BC6992-E7A9-468A-833D-539855B4915E}" name="Semana" dataDxfId="89"/>
    <tableColumn id="2" xr3:uid="{9E152ED2-9ED6-4BC8-89C9-5E86BF3E4F04}" name="Início" dataDxfId="88"/>
    <tableColumn id="3" xr3:uid="{C3BEC096-DDD6-4F1E-A13F-28447747D9EC}" name="Peso planejado Semanal (kg)" dataDxfId="87"/>
    <tableColumn id="4" xr3:uid="{848D5ACB-B05F-4956-9ABD-01545189DD40}" name="Peso planejado acum. (kg)" dataDxfId="86"/>
    <tableColumn id="5" xr3:uid="{BE29CF8F-3EE1-4217-A9E1-9DA9203D33B2}" name="Avanço planejado (%)" dataDxfId="85" dataCellStyle="Porcentagem">
      <calculatedColumnFormula>D36/$D$28</calculatedColumnFormula>
    </tableColumn>
    <tableColumn id="6" xr3:uid="{5E0AFB25-69C8-46B3-8217-705F230C6DE4}" name="Peso fabricado Semanal (kg)" dataDxfId="84"/>
    <tableColumn id="7" xr3:uid="{0159AED3-6A4B-4ED5-8967-6BFC9434969C}" name="Peso fabricado acum. (kg)" dataDxfId="83">
      <calculatedColumnFormula>SUM($F$36:F36)</calculatedColumnFormula>
    </tableColumn>
    <tableColumn id="8" xr3:uid="{D3D3500A-6E5F-4027-9CCD-C5385E5F6154}" name="Avanço fabricado (%)" dataDxfId="82" dataCellStyle="Porcentagem">
      <calculatedColumnFormula>G36/$D$28</calculatedColumnFormula>
    </tableColumn>
    <tableColumn id="9" xr3:uid="{5010F3B8-7F2B-4DAB-A76C-394B84862177}" name="Desvio acum. (kg)" dataDxfId="81">
      <calculatedColumnFormula>G36-D36</calculatedColumnFormula>
    </tableColumn>
    <tableColumn id="10" xr3:uid="{8CF70958-39E9-424F-AFFA-CDBC1C1E1E4C}" name="Desvio acum. (%)" dataDxfId="80">
      <calculatedColumnFormula>H36-E36</calculatedColumnFormula>
    </tableColumn>
    <tableColumn id="11" xr3:uid="{3BCD378E-E248-4ADF-B572-ADAD35564A92}" name="Status" dataDxfId="79">
      <calculatedColumnFormula>IF(H36&gt;=E36,"No prazo","Atrasado")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DD798F-10CB-4FC5-AC1A-984E343C4F91}" name="TabelaCurvaS56" displayName="TabelaCurvaS56" ref="A35:K41" headerRowDxfId="76" dataDxfId="75" totalsRowDxfId="74">
  <tableColumns count="11">
    <tableColumn id="1" xr3:uid="{F4C7CDDD-F740-4F46-9867-780B29003B53}" name="Semana" dataDxfId="73"/>
    <tableColumn id="2" xr3:uid="{FE754D25-2353-4371-A8CC-759AF226C3D6}" name="Início" dataDxfId="72"/>
    <tableColumn id="3" xr3:uid="{9D03579E-C74F-46CE-855C-52439A362CFF}" name="Peso planejado Semanal (kg)" dataDxfId="71"/>
    <tableColumn id="4" xr3:uid="{B3843D3A-8B05-4FAB-826C-77FBF9A741A8}" name="Peso planejado acum. (kg)" dataDxfId="70">
      <calculatedColumnFormula>SUM($C$36:C36)</calculatedColumnFormula>
    </tableColumn>
    <tableColumn id="5" xr3:uid="{A4F47987-45E8-4178-83B0-A13789B9732C}" name="Avanço planejado (%)" dataDxfId="69" dataCellStyle="Porcentagem">
      <calculatedColumnFormula>D36/$D$28</calculatedColumnFormula>
    </tableColumn>
    <tableColumn id="6" xr3:uid="{B430CA95-6874-46ED-A0E7-78EDA25488E8}" name="Peso fabricado Semanal (kg)" dataDxfId="68"/>
    <tableColumn id="7" xr3:uid="{3EE49089-228C-43C4-B018-C27FBF0B3973}" name="Peso fabricado acum. (kg)" dataDxfId="67">
      <calculatedColumnFormula>SUM($F$36:F36)</calculatedColumnFormula>
    </tableColumn>
    <tableColumn id="8" xr3:uid="{EE18C5CF-D494-456A-9EC8-1B7E38D3CAFF}" name="Avanço fabricado (%)" dataDxfId="66" dataCellStyle="Porcentagem">
      <calculatedColumnFormula>G36/$D$28</calculatedColumnFormula>
    </tableColumn>
    <tableColumn id="9" xr3:uid="{A7D40D06-13E9-4D04-AF9B-6127106CFA45}" name="Desvio acum. (kg)" dataDxfId="65">
      <calculatedColumnFormula>G36-D36</calculatedColumnFormula>
    </tableColumn>
    <tableColumn id="10" xr3:uid="{F2FAD427-741C-47D4-B997-30AA1BAAB728}" name="Desvio acum. (%)" dataDxfId="64">
      <calculatedColumnFormula>H36-E36</calculatedColumnFormula>
    </tableColumn>
    <tableColumn id="11" xr3:uid="{C78256AA-DD59-416A-A044-CC9729055913}" name="Status" dataDxfId="63">
      <calculatedColumnFormula>IF(H36&gt;=E36,"No prazo","Atrasado")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163D66-D1C4-4F2C-BCA9-F698E4683331}" name="TabelaCurvaS567" displayName="TabelaCurvaS567" ref="A35:K41" headerRowDxfId="60" dataDxfId="59" totalsRowDxfId="58">
  <tableColumns count="11">
    <tableColumn id="1" xr3:uid="{80ABFAFC-6B36-4DCF-B766-8227302BA4F1}" name="Semana" dataDxfId="57"/>
    <tableColumn id="2" xr3:uid="{A2CF6CE3-5405-4D1A-8064-5D6784D4F127}" name="Início" dataDxfId="56"/>
    <tableColumn id="3" xr3:uid="{A647F8A6-2A3E-46D8-A8EF-9307724324D5}" name="Peso planejado Semanal (kg)" dataDxfId="55"/>
    <tableColumn id="4" xr3:uid="{A1AAE573-382F-45A7-B080-86677918A248}" name="Peso planejado acum. (kg)" dataDxfId="54">
      <calculatedColumnFormula>SUM($C$36:C36)</calculatedColumnFormula>
    </tableColumn>
    <tableColumn id="5" xr3:uid="{915F1860-4F2F-4843-8C0B-3AC1C4594705}" name="Avanço planejado (%)" dataDxfId="53" dataCellStyle="Porcentagem">
      <calculatedColumnFormula>D36/$D$28</calculatedColumnFormula>
    </tableColumn>
    <tableColumn id="6" xr3:uid="{75E464E1-4258-4471-98E0-0DA94725DA83}" name="Peso fabricado Semanal (kg)" dataDxfId="52"/>
    <tableColumn id="7" xr3:uid="{27798E0A-6103-412D-808C-9B069A116A30}" name="Peso fabricado acum. (kg)" dataDxfId="51">
      <calculatedColumnFormula>SUM($F$36:F36)</calculatedColumnFormula>
    </tableColumn>
    <tableColumn id="8" xr3:uid="{83CA1CA5-58F0-4621-A242-D9A3D920037F}" name="Avanço fabricado (%)" dataDxfId="50" dataCellStyle="Porcentagem">
      <calculatedColumnFormula>G36/$D$28</calculatedColumnFormula>
    </tableColumn>
    <tableColumn id="9" xr3:uid="{B9D10F42-2822-44AD-95BC-4B732E0B99E5}" name="Desvio acum. (kg)" dataDxfId="49">
      <calculatedColumnFormula>G36-D36</calculatedColumnFormula>
    </tableColumn>
    <tableColumn id="10" xr3:uid="{AA003AB1-51C3-4386-81FF-BF06CFA2AC46}" name="Desvio acum. (%)" dataDxfId="48">
      <calculatedColumnFormula>H36-E36</calculatedColumnFormula>
    </tableColumn>
    <tableColumn id="11" xr3:uid="{9FA0E536-A235-4AE4-84C2-185BDD7134EA}" name="Status" dataDxfId="47">
      <calculatedColumnFormula>IF(H36&gt;=E36,"No prazo","Atrasado")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D41E49-3134-4CCA-9192-D7BDD8FB6487}" name="TabelaCurvaS5678" displayName="TabelaCurvaS5678" ref="A35:K41" headerRowDxfId="44" dataDxfId="43" totalsRowDxfId="42">
  <tableColumns count="11">
    <tableColumn id="1" xr3:uid="{E0762D8A-6556-4512-BD6C-FBA14810BF2F}" name="Semana" dataDxfId="41"/>
    <tableColumn id="2" xr3:uid="{B98D4FD8-47CF-444B-A745-DB5E3EB3986D}" name="Início" dataDxfId="40"/>
    <tableColumn id="3" xr3:uid="{2785706C-BB7B-4F55-BD0B-506D4CF4080F}" name="Peso planejado Semanal (kg)" dataDxfId="39"/>
    <tableColumn id="4" xr3:uid="{AD887778-4B8D-4CB8-A669-750E22D23126}" name="Peso planejado acum. (kg)" dataDxfId="38">
      <calculatedColumnFormula>SUM($C$36:C36)</calculatedColumnFormula>
    </tableColumn>
    <tableColumn id="5" xr3:uid="{1DD76167-76D6-4A4F-BDCA-7FB9BACD8474}" name="Avanço planejado (%)" dataDxfId="37" dataCellStyle="Porcentagem">
      <calculatedColumnFormula>D36/$D$28</calculatedColumnFormula>
    </tableColumn>
    <tableColumn id="6" xr3:uid="{273DBE85-DEFD-475F-BCC2-F00CA00EBD49}" name="Peso fabricado Semanal (kg)" dataDxfId="36"/>
    <tableColumn id="7" xr3:uid="{DD2605F8-F556-45BB-8D3B-3A2F553BCFD6}" name="Peso fabricado acum. (kg)" dataDxfId="35">
      <calculatedColumnFormula>SUM($F$36:F36)</calculatedColumnFormula>
    </tableColumn>
    <tableColumn id="8" xr3:uid="{E0666475-FC9B-445B-814F-2C27225FB859}" name="Avanço fabricado (%)" dataDxfId="34" dataCellStyle="Porcentagem">
      <calculatedColumnFormula>G36/$D$28</calculatedColumnFormula>
    </tableColumn>
    <tableColumn id="9" xr3:uid="{1FD43BC8-3AF0-44DA-98D3-D212CCFFCEF8}" name="Desvio acum. (kg)" dataDxfId="33">
      <calculatedColumnFormula>G36-D36</calculatedColumnFormula>
    </tableColumn>
    <tableColumn id="10" xr3:uid="{0A504DBA-E2D7-4E5B-A52F-4A20C377E2AC}" name="Desvio acum. (%)" dataDxfId="32">
      <calculatedColumnFormula>H36-E36</calculatedColumnFormula>
    </tableColumn>
    <tableColumn id="11" xr3:uid="{B32CD66E-681D-40EE-A853-F6A571AB21C1}" name="Status" dataDxfId="31">
      <calculatedColumnFormula>IF(H36&gt;=E36,"No prazo","Atrasado")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F18639-6599-49E0-869A-943A89A61724}" name="TabelaCurvaS56789" displayName="TabelaCurvaS56789" ref="A35:K41" headerRowDxfId="28" dataDxfId="27" totalsRowDxfId="26">
  <tableColumns count="11">
    <tableColumn id="1" xr3:uid="{A2A1CBBA-120A-4D9C-B6B6-9C0A85854FF5}" name="Semana" dataDxfId="25"/>
    <tableColumn id="2" xr3:uid="{E86F01F4-460B-46E7-82BA-ED18F2DAC302}" name="Início" dataDxfId="24"/>
    <tableColumn id="3" xr3:uid="{548C9F43-2CAB-46DD-816D-5FEEB471F6BB}" name="Peso planejado Semanal (kg)" dataDxfId="23"/>
    <tableColumn id="4" xr3:uid="{9EC2B6F7-8DA9-466E-A6D5-EA01F6DD46C5}" name="Peso planejado acum. (kg)" dataDxfId="22">
      <calculatedColumnFormula>SUM($C$36:C36)</calculatedColumnFormula>
    </tableColumn>
    <tableColumn id="5" xr3:uid="{B7BCC407-EDE5-4D15-9DD8-134CD799D4B0}" name="Avanço planejado (%)" dataDxfId="21" dataCellStyle="Porcentagem">
      <calculatedColumnFormula>D36/$D$28</calculatedColumnFormula>
    </tableColumn>
    <tableColumn id="6" xr3:uid="{E3FA39AB-8EF8-4F22-9E17-0676B03A1560}" name="Peso fabricado Semanal (kg)" dataDxfId="20"/>
    <tableColumn id="7" xr3:uid="{DC128E9E-F2A1-4461-991B-4DDF6A0CB2F7}" name="Peso fabricado acum. (kg)" dataDxfId="19">
      <calculatedColumnFormula>SUM($F$36:F36)</calculatedColumnFormula>
    </tableColumn>
    <tableColumn id="8" xr3:uid="{BFD79C6E-A637-4B89-87D0-F50CA8701A3B}" name="Avanço fabricado (%)" dataDxfId="18" dataCellStyle="Porcentagem">
      <calculatedColumnFormula>G36/$D$28</calculatedColumnFormula>
    </tableColumn>
    <tableColumn id="9" xr3:uid="{382E94EB-D986-4CF5-818A-FF4EDEAA89FA}" name="Desvio acum. (kg)" dataDxfId="17">
      <calculatedColumnFormula>G36-D36</calculatedColumnFormula>
    </tableColumn>
    <tableColumn id="10" xr3:uid="{CB20B5A7-FC82-464A-A12D-F73AE471F6E2}" name="Desvio acum. (%)" dataDxfId="16">
      <calculatedColumnFormula>H36-E36</calculatedColumnFormula>
    </tableColumn>
    <tableColumn id="11" xr3:uid="{51B6B7F7-3448-47A7-BE15-98FB1F999C65}" name="Status" dataDxfId="15">
      <calculatedColumnFormula>IF(H36&gt;=E36,"No prazo","Atrasado")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BaseTarefas" displayName="TabelaBaseTarefas" ref="A1:L108" headerRowDxfId="14" dataDxfId="13" totalsRowDxfId="12">
  <autoFilter ref="A1:L108" xr:uid="{00000000-000C-0000-FFFF-FFFF01000000}"/>
  <tableColumns count="12">
    <tableColumn id="1" xr3:uid="{00000000-0010-0000-0100-000001000000}" name="ID MS Project" dataDxfId="11"/>
    <tableColumn id="2" xr3:uid="{00000000-0010-0000-0100-000002000000}" name="Projeto/Área" dataDxfId="10"/>
    <tableColumn id="3" xr3:uid="{00000000-0010-0000-0100-000003000000}" name="Desenho" dataDxfId="9"/>
    <tableColumn id="4" xr3:uid="{00000000-0010-0000-0100-000004000000}" name="Marca/Item" dataDxfId="8"/>
    <tableColumn id="5" xr3:uid="{00000000-0010-0000-0100-000005000000}" name="Nome da Tarefa" dataDxfId="7"/>
    <tableColumn id="6" xr3:uid="{00000000-0010-0000-0100-000006000000}" name="Início" dataDxfId="6"/>
    <tableColumn id="7" xr3:uid="{00000000-0010-0000-0100-000007000000}" name="Término" dataDxfId="5"/>
    <tableColumn id="8" xr3:uid="{00000000-0010-0000-0100-000008000000}" name="Peso planejado (kg)" dataDxfId="4"/>
    <tableColumn id="9" xr3:uid="{00000000-0010-0000-0100-000009000000}" name="Peso fabricado (kg)" dataDxfId="3"/>
    <tableColumn id="10" xr3:uid="{00000000-0010-0000-0100-00000A000000}" name="Avanço por peso (%)" dataDxfId="2"/>
    <tableColumn id="11" xr3:uid="{00000000-0010-0000-0100-00000B000000}" name="Peso expedido (kg)" dataDxfId="1"/>
    <tableColumn id="12" xr3:uid="{00000000-0010-0000-0100-00000C000000}" name="Linha Banco de Dados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ResumoArea" displayName="TabelaResumoArea" ref="A3:E5">
  <tableColumns count="5">
    <tableColumn id="1" xr3:uid="{00000000-0010-0000-0200-000001000000}" name="Projeto/Área"/>
    <tableColumn id="2" xr3:uid="{00000000-0010-0000-0200-000002000000}" name="Qtd. tarefas"/>
    <tableColumn id="3" xr3:uid="{00000000-0010-0000-0200-000003000000}" name="Peso planejado (kg)"/>
    <tableColumn id="4" xr3:uid="{00000000-0010-0000-0200-000004000000}" name="Peso fabricado (kg)"/>
    <tableColumn id="5" xr3:uid="{00000000-0010-0000-0200-000005000000}" name="Avanço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8"/>
  <sheetViews>
    <sheetView zoomScaleNormal="100" workbookViewId="0">
      <selection activeCell="M14" sqref="M14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str">
        <f ca="1">TEXT(INDEX(E:E, MATCH(TODAY(), B:B, 0)), "0,00%")</f>
        <v>64,25%</v>
      </c>
    </row>
    <row r="4" spans="13:13">
      <c r="M4" s="5" t="str">
        <f ca="1">TEXT(INDEX(J:J, MATCH(TODAY(), B:B, 0)), "0,00%")</f>
        <v>-26,16%</v>
      </c>
    </row>
    <row r="25" spans="1:11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1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1">
      <c r="A28" s="11" t="s">
        <v>5</v>
      </c>
      <c r="B28" s="11"/>
      <c r="C28" s="11"/>
      <c r="D28" s="12">
        <v>74809.999999999971</v>
      </c>
      <c r="E28" s="5" t="s">
        <v>6</v>
      </c>
      <c r="F28" s="5" t="s">
        <v>7</v>
      </c>
    </row>
    <row r="29" spans="1:11">
      <c r="A29" s="11" t="s">
        <v>8</v>
      </c>
      <c r="B29" s="11"/>
      <c r="C29" s="11"/>
      <c r="D29" s="12">
        <f>SUM(TabelaCurvaS[Peso fabricado dia (kg)])</f>
        <v>28498.510000000002</v>
      </c>
      <c r="E29" s="5" t="s">
        <v>6</v>
      </c>
      <c r="F29" s="5" t="s">
        <v>9</v>
      </c>
    </row>
    <row r="30" spans="1:11">
      <c r="A30" s="11" t="s">
        <v>10</v>
      </c>
      <c r="B30" s="11"/>
      <c r="C30" s="11"/>
      <c r="D30" s="13">
        <f>D29/D28</f>
        <v>0.38094519449271508</v>
      </c>
      <c r="E30" s="5" t="s">
        <v>11</v>
      </c>
      <c r="F30" s="5" t="s">
        <v>12</v>
      </c>
    </row>
    <row r="31" spans="1:11">
      <c r="A31" s="11" t="s">
        <v>13</v>
      </c>
      <c r="B31" s="11"/>
      <c r="C31" s="11"/>
      <c r="D31" s="14" t="s">
        <v>14</v>
      </c>
      <c r="E31" s="5" t="s">
        <v>15</v>
      </c>
      <c r="F31" s="5" t="s">
        <v>16</v>
      </c>
    </row>
    <row r="32" spans="1:11">
      <c r="A32" s="11" t="s">
        <v>17</v>
      </c>
      <c r="B32" s="11"/>
      <c r="C32" s="11"/>
      <c r="D32" s="12">
        <v>1300</v>
      </c>
      <c r="E32" s="5" t="s">
        <v>18</v>
      </c>
      <c r="F32" s="5" t="s">
        <v>19</v>
      </c>
      <c r="I32" s="16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23</v>
      </c>
      <c r="B35" s="19" t="s">
        <v>24</v>
      </c>
      <c r="C35" s="19" t="s">
        <v>25</v>
      </c>
      <c r="D35" s="19" t="s">
        <v>26</v>
      </c>
      <c r="E35" s="19" t="s">
        <v>27</v>
      </c>
      <c r="F35" s="19" t="s">
        <v>28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46265</v>
      </c>
      <c r="C36" s="22">
        <v>0</v>
      </c>
      <c r="D36" s="8">
        <f>SUM($C$36:C36)</f>
        <v>0</v>
      </c>
      <c r="E36" s="17">
        <f t="shared" ref="E36:E67" si="0">D36/$D$28</f>
        <v>0</v>
      </c>
      <c r="F36" s="23">
        <v>0</v>
      </c>
      <c r="G36" s="8">
        <f>SUM($F$36:F36)</f>
        <v>0</v>
      </c>
      <c r="H36" s="17">
        <f t="shared" ref="H36:H67" si="1">G36/$D$28</f>
        <v>0</v>
      </c>
      <c r="I36" s="8">
        <f t="shared" ref="I36:I67" si="2">G36-D36</f>
        <v>0</v>
      </c>
      <c r="J36" s="10">
        <f t="shared" ref="J36:J67" si="3">H36-E36</f>
        <v>0</v>
      </c>
      <c r="K36" s="14" t="str">
        <f t="shared" ref="K36:K67" si="4">IF(H36&gt;=E36,"No prazo","Atrasado")</f>
        <v>No prazo</v>
      </c>
      <c r="M36" s="17">
        <f>IF(TabelaCurvaS[[#This Row],[Avanço fabricado (%)]]&gt;=TabelaCurvaS[[#This Row],[Avanço planejado (%)]],TabelaCurvaS[[#This Row],[Avanço fabricado (%)]],NA())</f>
        <v>0</v>
      </c>
      <c r="N36" s="17" t="e">
        <f>IF(TabelaCurvaS[[#This Row],[Avanço fabricado (%)]]&lt;TabelaCurvaS[[#This Row],[Avanço planejado (%)]],TabelaCurvaS[[#This Row],[Avanço fabricado (%)]],NA())</f>
        <v>#N/A</v>
      </c>
    </row>
    <row r="37" spans="1:14">
      <c r="A37" s="6">
        <v>2</v>
      </c>
      <c r="B37" s="15">
        <f>B36+1</f>
        <v>46266</v>
      </c>
      <c r="C37" s="22">
        <v>0</v>
      </c>
      <c r="D37" s="8">
        <v>0</v>
      </c>
      <c r="E37" s="17">
        <f t="shared" si="0"/>
        <v>0</v>
      </c>
      <c r="F37" s="23">
        <v>0</v>
      </c>
      <c r="G37" s="8">
        <f>SUM($F$36:F37)</f>
        <v>0</v>
      </c>
      <c r="H37" s="17">
        <f t="shared" si="1"/>
        <v>0</v>
      </c>
      <c r="I37" s="8">
        <f t="shared" si="2"/>
        <v>0</v>
      </c>
      <c r="J37" s="10">
        <f t="shared" si="3"/>
        <v>0</v>
      </c>
      <c r="K37" s="14" t="str">
        <f t="shared" si="4"/>
        <v>No prazo</v>
      </c>
      <c r="M37" s="17">
        <f>IF(TabelaCurvaS[[#This Row],[Avanço fabricado (%)]]&gt;=TabelaCurvaS[[#This Row],[Avanço planejado (%)]],TabelaCurvaS[[#This Row],[Avanço fabricado (%)]],NA())</f>
        <v>0</v>
      </c>
      <c r="N37" s="17" t="e">
        <f>IF(TabelaCurvaS[[#This Row],[Avanço fabricado (%)]]&lt;TabelaCurvaS[[#This Row],[Avanço planejado (%)]],TabelaCurvaS[[#This Row],[Avanço fabricado (%)]],NA())</f>
        <v>#N/A</v>
      </c>
    </row>
    <row r="38" spans="1:14">
      <c r="A38" s="6">
        <v>3</v>
      </c>
      <c r="B38" s="15">
        <f t="shared" ref="B38:B101" si="5">B37+1</f>
        <v>46267</v>
      </c>
      <c r="C38" s="22">
        <v>159</v>
      </c>
      <c r="D38" s="8">
        <f>SUM($C$36:C38)</f>
        <v>159</v>
      </c>
      <c r="E38" s="17">
        <f t="shared" si="0"/>
        <v>2.1253843069108415E-3</v>
      </c>
      <c r="F38" s="23">
        <v>985</v>
      </c>
      <c r="G38" s="8">
        <f>SUM($F$36:F38)</f>
        <v>985</v>
      </c>
      <c r="H38" s="17">
        <f t="shared" si="1"/>
        <v>1.3166688945328169E-2</v>
      </c>
      <c r="I38" s="8">
        <f t="shared" si="2"/>
        <v>826</v>
      </c>
      <c r="J38" s="10">
        <f t="shared" si="3"/>
        <v>1.1041304638417328E-2</v>
      </c>
      <c r="K38" s="14" t="str">
        <f t="shared" si="4"/>
        <v>No prazo</v>
      </c>
      <c r="L38" s="16"/>
      <c r="M38" s="17">
        <f>IF(TabelaCurvaS[[#This Row],[Avanço fabricado (%)]]&gt;=TabelaCurvaS[[#This Row],[Avanço planejado (%)]],TabelaCurvaS[[#This Row],[Avanço fabricado (%)]],NA())</f>
        <v>1.3166688945328169E-2</v>
      </c>
      <c r="N38" s="17" t="e">
        <f>IF(TabelaCurvaS[[#This Row],[Avanço fabricado (%)]]&lt;TabelaCurvaS[[#This Row],[Avanço planejado (%)]],TabelaCurvaS[[#This Row],[Avanço fabricado (%)]],NA())</f>
        <v>#N/A</v>
      </c>
    </row>
    <row r="39" spans="1:14">
      <c r="A39" s="6">
        <v>4</v>
      </c>
      <c r="B39" s="15">
        <f t="shared" si="5"/>
        <v>46268</v>
      </c>
      <c r="C39" s="22">
        <v>358</v>
      </c>
      <c r="D39" s="8">
        <f>SUM($C$36:C39)</f>
        <v>517</v>
      </c>
      <c r="E39" s="17">
        <f t="shared" si="0"/>
        <v>6.9108407966849382E-3</v>
      </c>
      <c r="F39" s="23">
        <v>1086.81</v>
      </c>
      <c r="G39" s="8">
        <f>SUM($F$36:F39)</f>
        <v>2071.81</v>
      </c>
      <c r="H39" s="17">
        <f t="shared" si="1"/>
        <v>2.769429220692422E-2</v>
      </c>
      <c r="I39" s="8">
        <f t="shared" si="2"/>
        <v>1554.81</v>
      </c>
      <c r="J39" s="10">
        <f t="shared" si="3"/>
        <v>2.0783451410239281E-2</v>
      </c>
      <c r="K39" s="14" t="str">
        <f t="shared" si="4"/>
        <v>No prazo</v>
      </c>
      <c r="L39" s="16"/>
      <c r="M39" s="17">
        <f>IF(TabelaCurvaS[[#This Row],[Avanço fabricado (%)]]&gt;=TabelaCurvaS[[#This Row],[Avanço planejado (%)]],TabelaCurvaS[[#This Row],[Avanço fabricado (%)]],NA())</f>
        <v>2.769429220692422E-2</v>
      </c>
      <c r="N39" s="17" t="e">
        <f>IF(TabelaCurvaS[[#This Row],[Avanço fabricado (%)]]&lt;TabelaCurvaS[[#This Row],[Avanço planejado (%)]],TabelaCurvaS[[#This Row],[Avanço fabricado (%)]],NA())</f>
        <v>#N/A</v>
      </c>
    </row>
    <row r="40" spans="1:14">
      <c r="A40" s="6">
        <v>5</v>
      </c>
      <c r="B40" s="15">
        <f t="shared" si="5"/>
        <v>46269</v>
      </c>
      <c r="C40" s="22">
        <v>865</v>
      </c>
      <c r="D40" s="8">
        <f>SUM($C$36:C40)</f>
        <v>1382</v>
      </c>
      <c r="E40" s="17">
        <f t="shared" si="0"/>
        <v>1.847346611415587E-2</v>
      </c>
      <c r="F40" s="23">
        <v>1169.5999999999999</v>
      </c>
      <c r="G40" s="8">
        <f>SUM($F$36:F40)</f>
        <v>3241.41</v>
      </c>
      <c r="H40" s="17">
        <f t="shared" si="1"/>
        <v>4.3328565699772774E-2</v>
      </c>
      <c r="I40" s="8">
        <f t="shared" si="2"/>
        <v>1859.4099999999999</v>
      </c>
      <c r="J40" s="10">
        <f t="shared" si="3"/>
        <v>2.4855099585616904E-2</v>
      </c>
      <c r="K40" s="14" t="str">
        <f t="shared" si="4"/>
        <v>No prazo</v>
      </c>
      <c r="L40" s="16"/>
      <c r="M40" s="17">
        <f>IF(TabelaCurvaS[[#This Row],[Avanço fabricado (%)]]&gt;=TabelaCurvaS[[#This Row],[Avanço planejado (%)]],TabelaCurvaS[[#This Row],[Avanço fabricado (%)]],NA())</f>
        <v>4.3328565699772774E-2</v>
      </c>
      <c r="N40" s="17" t="e">
        <f>IF(TabelaCurvaS[[#This Row],[Avanço fabricado (%)]]&lt;TabelaCurvaS[[#This Row],[Avanço planejado (%)]],TabelaCurvaS[[#This Row],[Avanço fabricado (%)]],NA())</f>
        <v>#N/A</v>
      </c>
    </row>
    <row r="41" spans="1:14">
      <c r="A41" s="6">
        <v>6</v>
      </c>
      <c r="B41" s="15">
        <f t="shared" si="5"/>
        <v>46270</v>
      </c>
      <c r="C41" s="22">
        <v>998</v>
      </c>
      <c r="D41" s="8">
        <f>SUM($C$36:C41)</f>
        <v>2380</v>
      </c>
      <c r="E41" s="17">
        <f t="shared" si="0"/>
        <v>3.1813928619168576E-2</v>
      </c>
      <c r="F41" s="23">
        <v>700</v>
      </c>
      <c r="G41" s="8">
        <f>SUM($F$36:F41)</f>
        <v>3941.41</v>
      </c>
      <c r="H41" s="17">
        <f t="shared" si="1"/>
        <v>5.268560352894E-2</v>
      </c>
      <c r="I41" s="8">
        <f t="shared" si="2"/>
        <v>1561.4099999999999</v>
      </c>
      <c r="J41" s="10">
        <f t="shared" si="3"/>
        <v>2.0871674909771425E-2</v>
      </c>
      <c r="K41" s="14" t="str">
        <f t="shared" si="4"/>
        <v>No prazo</v>
      </c>
      <c r="L41" s="16"/>
      <c r="M41" s="17">
        <f>IF(TabelaCurvaS[[#This Row],[Avanço fabricado (%)]]&gt;=TabelaCurvaS[[#This Row],[Avanço planejado (%)]],TabelaCurvaS[[#This Row],[Avanço fabricado (%)]],NA())</f>
        <v>5.268560352894E-2</v>
      </c>
      <c r="N41" s="17" t="e">
        <f>IF(TabelaCurvaS[[#This Row],[Avanço fabricado (%)]]&lt;TabelaCurvaS[[#This Row],[Avanço planejado (%)]],TabelaCurvaS[[#This Row],[Avanço fabricado (%)]],NA())</f>
        <v>#N/A</v>
      </c>
    </row>
    <row r="42" spans="1:14">
      <c r="A42" s="6">
        <v>7</v>
      </c>
      <c r="B42" s="15">
        <f t="shared" si="5"/>
        <v>46271</v>
      </c>
      <c r="C42" s="22">
        <v>1025</v>
      </c>
      <c r="D42" s="8">
        <f>SUM($C$36:C42)</f>
        <v>3405</v>
      </c>
      <c r="E42" s="17">
        <f t="shared" si="0"/>
        <v>4.5515305440449155E-2</v>
      </c>
      <c r="F42" s="23">
        <v>0</v>
      </c>
      <c r="G42" s="8">
        <f>SUM($F$36:F42)</f>
        <v>3941.41</v>
      </c>
      <c r="H42" s="17">
        <f t="shared" si="1"/>
        <v>5.268560352894E-2</v>
      </c>
      <c r="I42" s="8">
        <f t="shared" si="2"/>
        <v>536.40999999999985</v>
      </c>
      <c r="J42" s="10">
        <f t="shared" si="3"/>
        <v>7.1702980884908452E-3</v>
      </c>
      <c r="K42" s="14" t="str">
        <f t="shared" si="4"/>
        <v>No prazo</v>
      </c>
      <c r="L42" s="16"/>
      <c r="M42" s="17">
        <f>IF(TabelaCurvaS[[#This Row],[Avanço fabricado (%)]]&gt;=TabelaCurvaS[[#This Row],[Avanço planejado (%)]],TabelaCurvaS[[#This Row],[Avanço fabricado (%)]],NA())</f>
        <v>5.268560352894E-2</v>
      </c>
      <c r="N42" s="17" t="e">
        <f>IF(TabelaCurvaS[[#This Row],[Avanço fabricado (%)]]&lt;TabelaCurvaS[[#This Row],[Avanço planejado (%)]],TabelaCurvaS[[#This Row],[Avanço fabricado (%)]],NA())</f>
        <v>#N/A</v>
      </c>
    </row>
    <row r="43" spans="1:14">
      <c r="A43" s="6">
        <v>8</v>
      </c>
      <c r="B43" s="15">
        <f t="shared" si="5"/>
        <v>46272</v>
      </c>
      <c r="C43" s="22">
        <v>1052</v>
      </c>
      <c r="D43" s="8">
        <f>SUM($C$36:C43)</f>
        <v>4457</v>
      </c>
      <c r="E43" s="17">
        <f t="shared" si="0"/>
        <v>5.9577596577997619E-2</v>
      </c>
      <c r="F43" s="23">
        <v>1722</v>
      </c>
      <c r="G43" s="8">
        <f>SUM($F$36:F43)</f>
        <v>5663.41</v>
      </c>
      <c r="H43" s="17">
        <f t="shared" si="1"/>
        <v>7.5703916588691383E-2</v>
      </c>
      <c r="I43" s="8">
        <f t="shared" si="2"/>
        <v>1206.4099999999999</v>
      </c>
      <c r="J43" s="10">
        <f t="shared" si="3"/>
        <v>1.6126320010693765E-2</v>
      </c>
      <c r="K43" s="14" t="str">
        <f t="shared" si="4"/>
        <v>No prazo</v>
      </c>
      <c r="L43" s="16"/>
      <c r="M43" s="17">
        <f>IF(TabelaCurvaS[[#This Row],[Avanço fabricado (%)]]&gt;=TabelaCurvaS[[#This Row],[Avanço planejado (%)]],TabelaCurvaS[[#This Row],[Avanço fabricado (%)]],NA())</f>
        <v>7.5703916588691383E-2</v>
      </c>
      <c r="N43" s="17" t="e">
        <f>IF(TabelaCurvaS[[#This Row],[Avanço fabricado (%)]]&lt;TabelaCurvaS[[#This Row],[Avanço planejado (%)]],TabelaCurvaS[[#This Row],[Avanço fabricado (%)]],NA())</f>
        <v>#N/A</v>
      </c>
    </row>
    <row r="44" spans="1:14">
      <c r="A44" s="6">
        <v>9</v>
      </c>
      <c r="B44" s="15">
        <f t="shared" si="5"/>
        <v>46273</v>
      </c>
      <c r="C44" s="22">
        <v>1079</v>
      </c>
      <c r="D44" s="8">
        <f>SUM($C$36:C44)</f>
        <v>5536</v>
      </c>
      <c r="E44" s="17">
        <f t="shared" si="0"/>
        <v>7.4000802031813959E-2</v>
      </c>
      <c r="F44" s="23">
        <v>1211</v>
      </c>
      <c r="G44" s="8">
        <f>SUM($F$36:F44)</f>
        <v>6874.41</v>
      </c>
      <c r="H44" s="17">
        <f t="shared" si="1"/>
        <v>9.1891592033150685E-2</v>
      </c>
      <c r="I44" s="8">
        <f t="shared" si="2"/>
        <v>1338.4099999999999</v>
      </c>
      <c r="J44" s="10">
        <f t="shared" si="3"/>
        <v>1.7890790001336726E-2</v>
      </c>
      <c r="K44" s="14" t="str">
        <f t="shared" si="4"/>
        <v>No prazo</v>
      </c>
      <c r="L44" s="16"/>
      <c r="M44" s="17">
        <f>IF(TabelaCurvaS[[#This Row],[Avanço fabricado (%)]]&gt;=TabelaCurvaS[[#This Row],[Avanço planejado (%)]],TabelaCurvaS[[#This Row],[Avanço fabricado (%)]],NA())</f>
        <v>9.1891592033150685E-2</v>
      </c>
      <c r="N44" s="17" t="e">
        <f>IF(TabelaCurvaS[[#This Row],[Avanço fabricado (%)]]&lt;TabelaCurvaS[[#This Row],[Avanço planejado (%)]],TabelaCurvaS[[#This Row],[Avanço fabricado (%)]],NA())</f>
        <v>#N/A</v>
      </c>
    </row>
    <row r="45" spans="1:14">
      <c r="A45" s="6">
        <v>10</v>
      </c>
      <c r="B45" s="15">
        <f t="shared" si="5"/>
        <v>46274</v>
      </c>
      <c r="C45" s="22">
        <v>1106</v>
      </c>
      <c r="D45" s="8">
        <f>SUM($C$36:C45)</f>
        <v>6642</v>
      </c>
      <c r="E45" s="17">
        <f t="shared" si="0"/>
        <v>8.8784921801898176E-2</v>
      </c>
      <c r="F45" s="23">
        <v>797</v>
      </c>
      <c r="G45" s="8">
        <f>SUM($F$36:F45)</f>
        <v>7671.41</v>
      </c>
      <c r="H45" s="17">
        <f t="shared" si="1"/>
        <v>0.10254524796150251</v>
      </c>
      <c r="I45" s="8">
        <f t="shared" si="2"/>
        <v>1029.4099999999999</v>
      </c>
      <c r="J45" s="10">
        <f t="shared" si="3"/>
        <v>1.3760326159604333E-2</v>
      </c>
      <c r="K45" s="14" t="str">
        <f t="shared" si="4"/>
        <v>No prazo</v>
      </c>
      <c r="L45" s="16"/>
      <c r="M45" s="17">
        <f>IF(TabelaCurvaS[[#This Row],[Avanço fabricado (%)]]&gt;=TabelaCurvaS[[#This Row],[Avanço planejado (%)]],TabelaCurvaS[[#This Row],[Avanço fabricado (%)]],NA())</f>
        <v>0.10254524796150251</v>
      </c>
      <c r="N45" s="17" t="e">
        <f>IF(TabelaCurvaS[[#This Row],[Avanço fabricado (%)]]&lt;TabelaCurvaS[[#This Row],[Avanço planejado (%)]],TabelaCurvaS[[#This Row],[Avanço fabricado (%)]],NA())</f>
        <v>#N/A</v>
      </c>
    </row>
    <row r="46" spans="1:14">
      <c r="A46" s="6">
        <v>11</v>
      </c>
      <c r="B46" s="15">
        <f t="shared" si="5"/>
        <v>46275</v>
      </c>
      <c r="C46" s="22">
        <v>1133</v>
      </c>
      <c r="D46" s="8">
        <f>SUM($C$36:C46)</f>
        <v>7775</v>
      </c>
      <c r="E46" s="17">
        <f t="shared" si="0"/>
        <v>0.10392995588825027</v>
      </c>
      <c r="F46" s="23">
        <v>856</v>
      </c>
      <c r="G46" s="8">
        <f>SUM($F$36:F46)</f>
        <v>8527.41</v>
      </c>
      <c r="H46" s="17">
        <f t="shared" si="1"/>
        <v>0.11398756850688414</v>
      </c>
      <c r="I46" s="8">
        <f t="shared" si="2"/>
        <v>752.40999999999985</v>
      </c>
      <c r="J46" s="10">
        <f t="shared" si="3"/>
        <v>1.0057612618633874E-2</v>
      </c>
      <c r="K46" s="14" t="str">
        <f t="shared" si="4"/>
        <v>No prazo</v>
      </c>
      <c r="L46" s="16"/>
      <c r="M46" s="17">
        <f>IF(TabelaCurvaS[[#This Row],[Avanço fabricado (%)]]&gt;=TabelaCurvaS[[#This Row],[Avanço planejado (%)]],TabelaCurvaS[[#This Row],[Avanço fabricado (%)]],NA())</f>
        <v>0.11398756850688414</v>
      </c>
      <c r="N46" s="17" t="e">
        <f>IF(TabelaCurvaS[[#This Row],[Avanço fabricado (%)]]&lt;TabelaCurvaS[[#This Row],[Avanço planejado (%)]],TabelaCurvaS[[#This Row],[Avanço fabricado (%)]],NA())</f>
        <v>#N/A</v>
      </c>
    </row>
    <row r="47" spans="1:14">
      <c r="A47" s="6">
        <v>12</v>
      </c>
      <c r="B47" s="15">
        <f t="shared" si="5"/>
        <v>46276</v>
      </c>
      <c r="C47" s="22">
        <v>1160</v>
      </c>
      <c r="D47" s="8">
        <f>SUM($C$36:C47)</f>
        <v>8935</v>
      </c>
      <c r="E47" s="17">
        <f t="shared" si="0"/>
        <v>0.11943590429087025</v>
      </c>
      <c r="F47" s="23">
        <v>1061</v>
      </c>
      <c r="G47" s="8">
        <f>SUM($F$36:F47)</f>
        <v>9588.41</v>
      </c>
      <c r="H47" s="17">
        <f t="shared" si="1"/>
        <v>0.1281701644165219</v>
      </c>
      <c r="I47" s="8">
        <f t="shared" si="2"/>
        <v>653.40999999999985</v>
      </c>
      <c r="J47" s="10">
        <f t="shared" si="3"/>
        <v>8.7342601256516494E-3</v>
      </c>
      <c r="K47" s="14" t="str">
        <f t="shared" si="4"/>
        <v>No prazo</v>
      </c>
      <c r="L47" s="16"/>
      <c r="M47" s="17">
        <f>IF(TabelaCurvaS[[#This Row],[Avanço fabricado (%)]]&gt;=TabelaCurvaS[[#This Row],[Avanço planejado (%)]],TabelaCurvaS[[#This Row],[Avanço fabricado (%)]],NA())</f>
        <v>0.1281701644165219</v>
      </c>
      <c r="N47" s="17" t="e">
        <f>IF(TabelaCurvaS[[#This Row],[Avanço fabricado (%)]]&lt;TabelaCurvaS[[#This Row],[Avanço planejado (%)]],TabelaCurvaS[[#This Row],[Avanço fabricado (%)]],NA())</f>
        <v>#N/A</v>
      </c>
    </row>
    <row r="48" spans="1:14">
      <c r="A48" s="6">
        <v>13</v>
      </c>
      <c r="B48" s="15">
        <f t="shared" si="5"/>
        <v>46277</v>
      </c>
      <c r="C48" s="22">
        <v>1187</v>
      </c>
      <c r="D48" s="8">
        <f>SUM($C$36:C48)</f>
        <v>10122</v>
      </c>
      <c r="E48" s="17">
        <f t="shared" si="0"/>
        <v>0.1353027670097581</v>
      </c>
      <c r="F48" s="23">
        <v>600</v>
      </c>
      <c r="G48" s="8">
        <f>SUM($F$36:F48)</f>
        <v>10188.41</v>
      </c>
      <c r="H48" s="17">
        <f t="shared" si="1"/>
        <v>0.1361904825558081</v>
      </c>
      <c r="I48" s="8">
        <f t="shared" si="2"/>
        <v>66.409999999999854</v>
      </c>
      <c r="J48" s="10">
        <f t="shared" si="3"/>
        <v>8.8771554604999414E-4</v>
      </c>
      <c r="K48" s="14" t="str">
        <f t="shared" si="4"/>
        <v>No prazo</v>
      </c>
      <c r="L48" s="16"/>
      <c r="M48" s="17">
        <f>IF(TabelaCurvaS[[#This Row],[Avanço fabricado (%)]]&gt;=TabelaCurvaS[[#This Row],[Avanço planejado (%)]],TabelaCurvaS[[#This Row],[Avanço fabricado (%)]],NA())</f>
        <v>0.1361904825558081</v>
      </c>
      <c r="N48" s="17" t="e">
        <f>IF(TabelaCurvaS[[#This Row],[Avanço fabricado (%)]]&lt;TabelaCurvaS[[#This Row],[Avanço planejado (%)]],TabelaCurvaS[[#This Row],[Avanço fabricado (%)]],NA())</f>
        <v>#N/A</v>
      </c>
    </row>
    <row r="49" spans="1:14">
      <c r="A49" s="6">
        <v>14</v>
      </c>
      <c r="B49" s="15">
        <f t="shared" si="5"/>
        <v>46278</v>
      </c>
      <c r="C49" s="22">
        <v>1214</v>
      </c>
      <c r="D49" s="8">
        <f>SUM($C$36:C49)</f>
        <v>11336</v>
      </c>
      <c r="E49" s="17">
        <f t="shared" si="0"/>
        <v>0.15153054404491384</v>
      </c>
      <c r="F49" s="23">
        <v>0</v>
      </c>
      <c r="G49" s="8">
        <f>SUM($F$36:F49)</f>
        <v>10188.41</v>
      </c>
      <c r="H49" s="17">
        <f t="shared" si="1"/>
        <v>0.1361904825558081</v>
      </c>
      <c r="I49" s="8">
        <f t="shared" si="2"/>
        <v>-1147.5900000000001</v>
      </c>
      <c r="J49" s="10">
        <f t="shared" si="3"/>
        <v>-1.5340061489105744E-2</v>
      </c>
      <c r="K49" s="14" t="str">
        <f t="shared" si="4"/>
        <v>Atrasado</v>
      </c>
      <c r="L49" s="16"/>
      <c r="M49" s="17" t="e">
        <f>IF(TabelaCurvaS[[#This Row],[Avanço fabricado (%)]]&gt;=TabelaCurvaS[[#This Row],[Avanço planejado (%)]],TabelaCurvaS[[#This Row],[Avanço fabricado (%)]],NA())</f>
        <v>#N/A</v>
      </c>
      <c r="N49" s="17">
        <f>IF(TabelaCurvaS[[#This Row],[Avanço fabricado (%)]]&lt;TabelaCurvaS[[#This Row],[Avanço planejado (%)]],TabelaCurvaS[[#This Row],[Avanço fabricado (%)]],NA())</f>
        <v>0.1361904825558081</v>
      </c>
    </row>
    <row r="50" spans="1:14">
      <c r="A50" s="6">
        <v>15</v>
      </c>
      <c r="B50" s="15">
        <f t="shared" si="5"/>
        <v>46279</v>
      </c>
      <c r="C50" s="22">
        <v>1241</v>
      </c>
      <c r="D50" s="8">
        <f>SUM($C$36:C50)</f>
        <v>12577</v>
      </c>
      <c r="E50" s="17">
        <f t="shared" si="0"/>
        <v>0.16811923539633744</v>
      </c>
      <c r="F50" s="23">
        <v>1197</v>
      </c>
      <c r="G50" s="8">
        <f>SUM($F$36:F50)</f>
        <v>11385.41</v>
      </c>
      <c r="H50" s="17">
        <f t="shared" si="1"/>
        <v>0.15219101724368406</v>
      </c>
      <c r="I50" s="8">
        <f t="shared" si="2"/>
        <v>-1191.5900000000001</v>
      </c>
      <c r="J50" s="10">
        <f t="shared" si="3"/>
        <v>-1.5928218152653384E-2</v>
      </c>
      <c r="K50" s="14" t="str">
        <f t="shared" si="4"/>
        <v>Atrasado</v>
      </c>
      <c r="L50" s="16"/>
      <c r="M50" s="17" t="e">
        <f>IF(TabelaCurvaS[[#This Row],[Avanço fabricado (%)]]&gt;=TabelaCurvaS[[#This Row],[Avanço planejado (%)]],TabelaCurvaS[[#This Row],[Avanço fabricado (%)]],NA())</f>
        <v>#N/A</v>
      </c>
      <c r="N50" s="17">
        <f>IF(TabelaCurvaS[[#This Row],[Avanço fabricado (%)]]&lt;TabelaCurvaS[[#This Row],[Avanço planejado (%)]],TabelaCurvaS[[#This Row],[Avanço fabricado (%)]],NA())</f>
        <v>0.15219101724368406</v>
      </c>
    </row>
    <row r="51" spans="1:14">
      <c r="A51" s="6">
        <v>16</v>
      </c>
      <c r="B51" s="15">
        <f t="shared" si="5"/>
        <v>46280</v>
      </c>
      <c r="C51" s="22">
        <v>1268</v>
      </c>
      <c r="D51" s="8">
        <f>SUM($C$36:C51)</f>
        <v>13845</v>
      </c>
      <c r="E51" s="17">
        <f t="shared" si="0"/>
        <v>0.18506884106402893</v>
      </c>
      <c r="F51" s="23">
        <v>1002</v>
      </c>
      <c r="G51" s="8">
        <f>SUM($F$36:F51)</f>
        <v>12387.41</v>
      </c>
      <c r="H51" s="17">
        <f t="shared" si="1"/>
        <v>0.16558494853629199</v>
      </c>
      <c r="I51" s="8">
        <f t="shared" si="2"/>
        <v>-1457.5900000000001</v>
      </c>
      <c r="J51" s="10">
        <f t="shared" si="3"/>
        <v>-1.948389252773694E-2</v>
      </c>
      <c r="K51" s="14" t="str">
        <f t="shared" si="4"/>
        <v>Atrasado</v>
      </c>
      <c r="L51" s="16"/>
      <c r="M51" s="17" t="e">
        <f>IF(TabelaCurvaS[[#This Row],[Avanço fabricado (%)]]&gt;=TabelaCurvaS[[#This Row],[Avanço planejado (%)]],TabelaCurvaS[[#This Row],[Avanço fabricado (%)]],NA())</f>
        <v>#N/A</v>
      </c>
      <c r="N51" s="17">
        <f>IF(TabelaCurvaS[[#This Row],[Avanço fabricado (%)]]&lt;TabelaCurvaS[[#This Row],[Avanço planejado (%)]],TabelaCurvaS[[#This Row],[Avanço fabricado (%)]],NA())</f>
        <v>0.16558494853629199</v>
      </c>
    </row>
    <row r="52" spans="1:14">
      <c r="A52" s="6">
        <v>17</v>
      </c>
      <c r="B52" s="15">
        <f t="shared" si="5"/>
        <v>46281</v>
      </c>
      <c r="C52" s="22">
        <v>1295</v>
      </c>
      <c r="D52" s="8">
        <f>SUM($C$36:C52)</f>
        <v>15140</v>
      </c>
      <c r="E52" s="17">
        <f t="shared" si="0"/>
        <v>0.20237936104798832</v>
      </c>
      <c r="F52" s="23">
        <v>1157</v>
      </c>
      <c r="G52" s="8">
        <f>SUM($F$36:F52)</f>
        <v>13544.41</v>
      </c>
      <c r="H52" s="17">
        <f t="shared" si="1"/>
        <v>0.18105079534821555</v>
      </c>
      <c r="I52" s="8">
        <f t="shared" si="2"/>
        <v>-1595.5900000000001</v>
      </c>
      <c r="J52" s="10">
        <f t="shared" si="3"/>
        <v>-2.1328565699772761E-2</v>
      </c>
      <c r="K52" s="14" t="str">
        <f t="shared" si="4"/>
        <v>Atrasado</v>
      </c>
      <c r="L52" s="16"/>
      <c r="M52" s="17" t="e">
        <f>IF(TabelaCurvaS[[#This Row],[Avanço fabricado (%)]]&gt;=TabelaCurvaS[[#This Row],[Avanço planejado (%)]],TabelaCurvaS[[#This Row],[Avanço fabricado (%)]],NA())</f>
        <v>#N/A</v>
      </c>
      <c r="N52" s="17">
        <f>IF(TabelaCurvaS[[#This Row],[Avanço fabricado (%)]]&lt;TabelaCurvaS[[#This Row],[Avanço planejado (%)]],TabelaCurvaS[[#This Row],[Avanço fabricado (%)]],NA())</f>
        <v>0.18105079534821555</v>
      </c>
    </row>
    <row r="53" spans="1:14">
      <c r="A53" s="6">
        <v>18</v>
      </c>
      <c r="B53" s="15">
        <f t="shared" si="5"/>
        <v>46282</v>
      </c>
      <c r="C53" s="22">
        <v>1322</v>
      </c>
      <c r="D53" s="8">
        <f>SUM($C$36:C53)</f>
        <v>16462</v>
      </c>
      <c r="E53" s="17">
        <f t="shared" si="0"/>
        <v>0.22005079534821556</v>
      </c>
      <c r="F53" s="23">
        <v>598.79999999999995</v>
      </c>
      <c r="G53" s="8">
        <f>SUM($F$36:F53)</f>
        <v>14143.21</v>
      </c>
      <c r="H53" s="17">
        <f t="shared" si="1"/>
        <v>0.18905507285122317</v>
      </c>
      <c r="I53" s="8">
        <f t="shared" si="2"/>
        <v>-2318.7900000000009</v>
      </c>
      <c r="J53" s="10">
        <f t="shared" si="3"/>
        <v>-3.0995722496992395E-2</v>
      </c>
      <c r="K53" s="14" t="str">
        <f t="shared" si="4"/>
        <v>Atrasado</v>
      </c>
      <c r="L53" s="16"/>
      <c r="M53" s="17" t="e">
        <f>IF(TabelaCurvaS[[#This Row],[Avanço fabricado (%)]]&gt;=TabelaCurvaS[[#This Row],[Avanço planejado (%)]],TabelaCurvaS[[#This Row],[Avanço fabricado (%)]],NA())</f>
        <v>#N/A</v>
      </c>
      <c r="N53" s="17">
        <f>IF(TabelaCurvaS[[#This Row],[Avanço fabricado (%)]]&lt;TabelaCurvaS[[#This Row],[Avanço planejado (%)]],TabelaCurvaS[[#This Row],[Avanço fabricado (%)]],NA())</f>
        <v>0.18905507285122317</v>
      </c>
    </row>
    <row r="54" spans="1:14">
      <c r="A54" s="6">
        <v>19</v>
      </c>
      <c r="B54" s="15">
        <f t="shared" si="5"/>
        <v>46283</v>
      </c>
      <c r="C54" s="22">
        <v>1349</v>
      </c>
      <c r="D54" s="8">
        <f>SUM($C$36:C54)</f>
        <v>17811</v>
      </c>
      <c r="E54" s="17">
        <f t="shared" si="0"/>
        <v>0.2380831439647107</v>
      </c>
      <c r="F54" s="23">
        <v>1350</v>
      </c>
      <c r="G54" s="8">
        <f>SUM($F$36:F54)</f>
        <v>15493.21</v>
      </c>
      <c r="H54" s="17">
        <f t="shared" si="1"/>
        <v>0.20710078866461709</v>
      </c>
      <c r="I54" s="8">
        <f t="shared" si="2"/>
        <v>-2317.7900000000009</v>
      </c>
      <c r="J54" s="10">
        <f t="shared" si="3"/>
        <v>-3.0982355300093606E-2</v>
      </c>
      <c r="K54" s="14" t="str">
        <f t="shared" si="4"/>
        <v>Atrasado</v>
      </c>
      <c r="L54" s="16"/>
      <c r="M54" s="17" t="e">
        <f>IF(TabelaCurvaS[[#This Row],[Avanço fabricado (%)]]&gt;=TabelaCurvaS[[#This Row],[Avanço planejado (%)]],TabelaCurvaS[[#This Row],[Avanço fabricado (%)]],NA())</f>
        <v>#N/A</v>
      </c>
      <c r="N54" s="17">
        <f>IF(TabelaCurvaS[[#This Row],[Avanço fabricado (%)]]&lt;TabelaCurvaS[[#This Row],[Avanço planejado (%)]],TabelaCurvaS[[#This Row],[Avanço fabricado (%)]],NA())</f>
        <v>0.20710078866461709</v>
      </c>
    </row>
    <row r="55" spans="1:14">
      <c r="A55" s="6">
        <v>20</v>
      </c>
      <c r="B55" s="15">
        <f t="shared" si="5"/>
        <v>46284</v>
      </c>
      <c r="C55" s="22">
        <v>1376</v>
      </c>
      <c r="D55" s="8">
        <f>SUM($C$36:C55)</f>
        <v>19187</v>
      </c>
      <c r="E55" s="17">
        <f t="shared" si="0"/>
        <v>0.2564764068974737</v>
      </c>
      <c r="F55" s="23">
        <v>0</v>
      </c>
      <c r="G55" s="8">
        <f>SUM($F$36:F55)</f>
        <v>15493.21</v>
      </c>
      <c r="H55" s="17">
        <f t="shared" si="1"/>
        <v>0.20710078866461709</v>
      </c>
      <c r="I55" s="8">
        <f t="shared" si="2"/>
        <v>-3693.7900000000009</v>
      </c>
      <c r="J55" s="10">
        <f t="shared" si="3"/>
        <v>-4.9375618232856605E-2</v>
      </c>
      <c r="K55" s="14" t="str">
        <f t="shared" si="4"/>
        <v>Atrasado</v>
      </c>
      <c r="L55" s="16"/>
      <c r="M55" s="17" t="e">
        <f>IF(TabelaCurvaS[[#This Row],[Avanço fabricado (%)]]&gt;=TabelaCurvaS[[#This Row],[Avanço planejado (%)]],TabelaCurvaS[[#This Row],[Avanço fabricado (%)]],NA())</f>
        <v>#N/A</v>
      </c>
      <c r="N55" s="17">
        <f>IF(TabelaCurvaS[[#This Row],[Avanço fabricado (%)]]&lt;TabelaCurvaS[[#This Row],[Avanço planejado (%)]],TabelaCurvaS[[#This Row],[Avanço fabricado (%)]],NA())</f>
        <v>0.20710078866461709</v>
      </c>
    </row>
    <row r="56" spans="1:14">
      <c r="A56" s="6">
        <v>21</v>
      </c>
      <c r="B56" s="15">
        <f t="shared" si="5"/>
        <v>46285</v>
      </c>
      <c r="C56" s="22">
        <v>1403</v>
      </c>
      <c r="D56" s="8">
        <f>SUM($C$36:C56)</f>
        <v>20590</v>
      </c>
      <c r="E56" s="17">
        <f t="shared" si="0"/>
        <v>0.27523058414650459</v>
      </c>
      <c r="F56" s="23">
        <v>0</v>
      </c>
      <c r="G56" s="8">
        <f>SUM($F$36:F56)</f>
        <v>15493.21</v>
      </c>
      <c r="H56" s="17">
        <f t="shared" si="1"/>
        <v>0.20710078866461709</v>
      </c>
      <c r="I56" s="8">
        <f t="shared" si="2"/>
        <v>-5096.7900000000009</v>
      </c>
      <c r="J56" s="10">
        <f t="shared" si="3"/>
        <v>-6.8129795481887495E-2</v>
      </c>
      <c r="K56" s="14" t="str">
        <f t="shared" si="4"/>
        <v>Atrasado</v>
      </c>
      <c r="L56" s="16"/>
      <c r="M56" s="17" t="e">
        <f>IF(TabelaCurvaS[[#This Row],[Avanço fabricado (%)]]&gt;=TabelaCurvaS[[#This Row],[Avanço planejado (%)]],TabelaCurvaS[[#This Row],[Avanço fabricado (%)]],NA())</f>
        <v>#N/A</v>
      </c>
      <c r="N56" s="17">
        <f>IF(TabelaCurvaS[[#This Row],[Avanço fabricado (%)]]&lt;TabelaCurvaS[[#This Row],[Avanço planejado (%)]],TabelaCurvaS[[#This Row],[Avanço fabricado (%)]],NA())</f>
        <v>0.20710078866461709</v>
      </c>
    </row>
    <row r="57" spans="1:14">
      <c r="A57" s="6">
        <v>22</v>
      </c>
      <c r="B57" s="15">
        <f t="shared" si="5"/>
        <v>46286</v>
      </c>
      <c r="C57" s="22">
        <v>1430</v>
      </c>
      <c r="D57" s="8">
        <f>SUM($C$36:C57)</f>
        <v>22020</v>
      </c>
      <c r="E57" s="17">
        <f t="shared" si="0"/>
        <v>0.29434567571180337</v>
      </c>
      <c r="F57" s="23">
        <v>1760.31</v>
      </c>
      <c r="G57" s="8">
        <f>SUM($F$36:F57)</f>
        <v>17253.52</v>
      </c>
      <c r="H57" s="17">
        <f t="shared" si="1"/>
        <v>0.23063119903756191</v>
      </c>
      <c r="I57" s="8">
        <f t="shared" si="2"/>
        <v>-4766.4799999999996</v>
      </c>
      <c r="J57" s="10">
        <f t="shared" si="3"/>
        <v>-6.371447667424146E-2</v>
      </c>
      <c r="K57" s="14" t="str">
        <f t="shared" si="4"/>
        <v>Atrasado</v>
      </c>
      <c r="L57" s="16"/>
      <c r="M57" s="17" t="e">
        <f>IF(TabelaCurvaS[[#This Row],[Avanço fabricado (%)]]&gt;=TabelaCurvaS[[#This Row],[Avanço planejado (%)]],TabelaCurvaS[[#This Row],[Avanço fabricado (%)]],NA())</f>
        <v>#N/A</v>
      </c>
      <c r="N57" s="17">
        <f>IF(TabelaCurvaS[[#This Row],[Avanço fabricado (%)]]&lt;TabelaCurvaS[[#This Row],[Avanço planejado (%)]],TabelaCurvaS[[#This Row],[Avanço fabricado (%)]],NA())</f>
        <v>0.23063119903756191</v>
      </c>
    </row>
    <row r="58" spans="1:14">
      <c r="A58" s="6">
        <v>23</v>
      </c>
      <c r="B58" s="15">
        <f t="shared" si="5"/>
        <v>46287</v>
      </c>
      <c r="C58" s="22">
        <v>1457</v>
      </c>
      <c r="D58" s="8">
        <f>SUM($C$36:C58)</f>
        <v>23477</v>
      </c>
      <c r="E58" s="17">
        <f t="shared" si="0"/>
        <v>0.31382168159336998</v>
      </c>
      <c r="F58" s="23">
        <v>1258</v>
      </c>
      <c r="G58" s="8">
        <f>SUM($F$36:F58)</f>
        <v>18511.52</v>
      </c>
      <c r="H58" s="17">
        <f t="shared" si="1"/>
        <v>0.24744713273626531</v>
      </c>
      <c r="I58" s="8">
        <f t="shared" si="2"/>
        <v>-4965.4799999999996</v>
      </c>
      <c r="J58" s="10">
        <f t="shared" si="3"/>
        <v>-6.637454885710467E-2</v>
      </c>
      <c r="K58" s="14" t="str">
        <f t="shared" si="4"/>
        <v>Atrasado</v>
      </c>
      <c r="L58" s="16"/>
      <c r="M58" s="17" t="e">
        <f>IF(TabelaCurvaS[[#This Row],[Avanço fabricado (%)]]&gt;=TabelaCurvaS[[#This Row],[Avanço planejado (%)]],TabelaCurvaS[[#This Row],[Avanço fabricado (%)]],NA())</f>
        <v>#N/A</v>
      </c>
      <c r="N58" s="17">
        <f>IF(TabelaCurvaS[[#This Row],[Avanço fabricado (%)]]&lt;TabelaCurvaS[[#This Row],[Avanço planejado (%)]],TabelaCurvaS[[#This Row],[Avanço fabricado (%)]],NA())</f>
        <v>0.24744713273626531</v>
      </c>
    </row>
    <row r="59" spans="1:14">
      <c r="A59" s="6">
        <v>24</v>
      </c>
      <c r="B59" s="15">
        <f t="shared" si="5"/>
        <v>46288</v>
      </c>
      <c r="C59" s="22">
        <v>1484</v>
      </c>
      <c r="D59" s="8">
        <f>SUM($C$36:C59)</f>
        <v>24961</v>
      </c>
      <c r="E59" s="17">
        <f t="shared" si="0"/>
        <v>0.33365860179120449</v>
      </c>
      <c r="F59" s="23">
        <v>1918</v>
      </c>
      <c r="G59" s="8">
        <f>SUM($F$36:F59)</f>
        <v>20429.52</v>
      </c>
      <c r="H59" s="17">
        <f t="shared" si="1"/>
        <v>0.27308541638818351</v>
      </c>
      <c r="I59" s="8">
        <f t="shared" si="2"/>
        <v>-4531.4799999999996</v>
      </c>
      <c r="J59" s="10">
        <f t="shared" si="3"/>
        <v>-6.0573185403020979E-2</v>
      </c>
      <c r="K59" s="14" t="str">
        <f t="shared" si="4"/>
        <v>Atrasado</v>
      </c>
      <c r="L59" s="16"/>
      <c r="M59" s="17" t="e">
        <f>IF(TabelaCurvaS[[#This Row],[Avanço fabricado (%)]]&gt;=TabelaCurvaS[[#This Row],[Avanço planejado (%)]],TabelaCurvaS[[#This Row],[Avanço fabricado (%)]],NA())</f>
        <v>#N/A</v>
      </c>
      <c r="N59" s="17">
        <f>IF(TabelaCurvaS[[#This Row],[Avanço fabricado (%)]]&lt;TabelaCurvaS[[#This Row],[Avanço planejado (%)]],TabelaCurvaS[[#This Row],[Avanço fabricado (%)]],NA())</f>
        <v>0.27308541638818351</v>
      </c>
    </row>
    <row r="60" spans="1:14">
      <c r="A60" s="6">
        <v>25</v>
      </c>
      <c r="B60" s="15">
        <f t="shared" si="5"/>
        <v>46289</v>
      </c>
      <c r="C60" s="22">
        <v>1511</v>
      </c>
      <c r="D60" s="8">
        <f>SUM($C$36:C60)</f>
        <v>26472</v>
      </c>
      <c r="E60" s="17">
        <f t="shared" si="0"/>
        <v>0.35385643630530689</v>
      </c>
      <c r="F60" s="23">
        <v>0</v>
      </c>
      <c r="G60" s="8">
        <f>SUM($F$36:F60)</f>
        <v>20429.52</v>
      </c>
      <c r="H60" s="17">
        <f t="shared" si="1"/>
        <v>0.27308541638818351</v>
      </c>
      <c r="I60" s="8">
        <f t="shared" si="2"/>
        <v>-6042.48</v>
      </c>
      <c r="J60" s="10">
        <f t="shared" si="3"/>
        <v>-8.0771019917123377E-2</v>
      </c>
      <c r="K60" s="14" t="str">
        <f t="shared" si="4"/>
        <v>Atrasado</v>
      </c>
      <c r="L60" s="16"/>
      <c r="M60" s="17" t="e">
        <f>IF(TabelaCurvaS[[#This Row],[Avanço fabricado (%)]]&gt;=TabelaCurvaS[[#This Row],[Avanço planejado (%)]],TabelaCurvaS[[#This Row],[Avanço fabricado (%)]],NA())</f>
        <v>#N/A</v>
      </c>
      <c r="N60" s="17">
        <f>IF(TabelaCurvaS[[#This Row],[Avanço fabricado (%)]]&lt;TabelaCurvaS[[#This Row],[Avanço planejado (%)]],TabelaCurvaS[[#This Row],[Avanço fabricado (%)]],NA())</f>
        <v>0.27308541638818351</v>
      </c>
    </row>
    <row r="61" spans="1:14">
      <c r="A61" s="6">
        <v>26</v>
      </c>
      <c r="B61" s="15">
        <f t="shared" si="5"/>
        <v>46290</v>
      </c>
      <c r="C61" s="22">
        <v>1538</v>
      </c>
      <c r="D61" s="8">
        <f>SUM($C$36:C61)</f>
        <v>28010</v>
      </c>
      <c r="E61" s="17">
        <f t="shared" si="0"/>
        <v>0.37441518513567718</v>
      </c>
      <c r="F61" s="23">
        <v>598</v>
      </c>
      <c r="G61" s="8">
        <f>SUM($F$36:F61)</f>
        <v>21027.52</v>
      </c>
      <c r="H61" s="17">
        <f t="shared" si="1"/>
        <v>0.2810790001336721</v>
      </c>
      <c r="I61" s="8">
        <f t="shared" si="2"/>
        <v>-6982.48</v>
      </c>
      <c r="J61" s="10">
        <f t="shared" si="3"/>
        <v>-9.3336185002005079E-2</v>
      </c>
      <c r="K61" s="14" t="str">
        <f t="shared" si="4"/>
        <v>Atrasado</v>
      </c>
      <c r="L61" s="16"/>
      <c r="M61" s="17" t="e">
        <f>IF(TabelaCurvaS[[#This Row],[Avanço fabricado (%)]]&gt;=TabelaCurvaS[[#This Row],[Avanço planejado (%)]],TabelaCurvaS[[#This Row],[Avanço fabricado (%)]],NA())</f>
        <v>#N/A</v>
      </c>
      <c r="N61" s="17">
        <f>IF(TabelaCurvaS[[#This Row],[Avanço fabricado (%)]]&lt;TabelaCurvaS[[#This Row],[Avanço planejado (%)]],TabelaCurvaS[[#This Row],[Avanço fabricado (%)]],NA())</f>
        <v>0.2810790001336721</v>
      </c>
    </row>
    <row r="62" spans="1:14">
      <c r="A62" s="6">
        <v>27</v>
      </c>
      <c r="B62" s="15">
        <f t="shared" si="5"/>
        <v>46291</v>
      </c>
      <c r="C62" s="22">
        <v>1565</v>
      </c>
      <c r="D62" s="8">
        <f>SUM($C$36:C62)</f>
        <v>29575</v>
      </c>
      <c r="E62" s="17">
        <f t="shared" si="0"/>
        <v>0.39533484828231535</v>
      </c>
      <c r="F62" s="23">
        <v>0</v>
      </c>
      <c r="G62" s="8">
        <f>SUM($F$36:F62)</f>
        <v>21027.52</v>
      </c>
      <c r="H62" s="17">
        <f t="shared" si="1"/>
        <v>0.2810790001336721</v>
      </c>
      <c r="I62" s="8">
        <f t="shared" si="2"/>
        <v>-8547.48</v>
      </c>
      <c r="J62" s="10">
        <f t="shared" si="3"/>
        <v>-0.11425584814864326</v>
      </c>
      <c r="K62" s="14" t="str">
        <f t="shared" si="4"/>
        <v>Atrasado</v>
      </c>
      <c r="L62" s="16"/>
      <c r="M62" s="17" t="e">
        <f>IF(TabelaCurvaS[[#This Row],[Avanço fabricado (%)]]&gt;=TabelaCurvaS[[#This Row],[Avanço planejado (%)]],TabelaCurvaS[[#This Row],[Avanço fabricado (%)]],NA())</f>
        <v>#N/A</v>
      </c>
      <c r="N62" s="17">
        <f>IF(TabelaCurvaS[[#This Row],[Avanço fabricado (%)]]&lt;TabelaCurvaS[[#This Row],[Avanço planejado (%)]],TabelaCurvaS[[#This Row],[Avanço fabricado (%)]],NA())</f>
        <v>0.2810790001336721</v>
      </c>
    </row>
    <row r="63" spans="1:14">
      <c r="A63" s="6">
        <v>28</v>
      </c>
      <c r="B63" s="15">
        <f t="shared" si="5"/>
        <v>46292</v>
      </c>
      <c r="C63" s="22">
        <v>1186.8699999999999</v>
      </c>
      <c r="D63" s="8">
        <f>SUM($C$36:C63)</f>
        <v>30761.87</v>
      </c>
      <c r="E63" s="17">
        <f t="shared" si="0"/>
        <v>0.41119997326560637</v>
      </c>
      <c r="F63" s="23">
        <v>0</v>
      </c>
      <c r="G63" s="8">
        <f>SUM($F$36:F63)</f>
        <v>21027.52</v>
      </c>
      <c r="H63" s="17">
        <f t="shared" si="1"/>
        <v>0.2810790001336721</v>
      </c>
      <c r="I63" s="8">
        <f t="shared" si="2"/>
        <v>-9734.3499999999985</v>
      </c>
      <c r="J63" s="10">
        <f t="shared" si="3"/>
        <v>-0.13012097313193427</v>
      </c>
      <c r="K63" s="14" t="str">
        <f t="shared" si="4"/>
        <v>Atrasado</v>
      </c>
      <c r="L63" s="16"/>
      <c r="M63" s="17" t="e">
        <f>IF(TabelaCurvaS[[#This Row],[Avanço fabricado (%)]]&gt;=TabelaCurvaS[[#This Row],[Avanço planejado (%)]],TabelaCurvaS[[#This Row],[Avanço fabricado (%)]],NA())</f>
        <v>#N/A</v>
      </c>
      <c r="N63" s="17">
        <f>IF(TabelaCurvaS[[#This Row],[Avanço fabricado (%)]]&lt;TabelaCurvaS[[#This Row],[Avanço planejado (%)]],TabelaCurvaS[[#This Row],[Avanço fabricado (%)]],NA())</f>
        <v>0.2810790001336721</v>
      </c>
    </row>
    <row r="64" spans="1:14">
      <c r="A64" s="6">
        <v>29</v>
      </c>
      <c r="B64" s="15">
        <f t="shared" si="5"/>
        <v>46293</v>
      </c>
      <c r="C64" s="22">
        <v>1172.54</v>
      </c>
      <c r="D64" s="8">
        <f>SUM($C$36:C64)</f>
        <v>31934.41</v>
      </c>
      <c r="E64" s="17">
        <f t="shared" si="0"/>
        <v>0.42687354631733743</v>
      </c>
      <c r="F64" s="23">
        <v>0</v>
      </c>
      <c r="G64" s="8">
        <f>SUM($F$36:F64)</f>
        <v>21027.52</v>
      </c>
      <c r="H64" s="17">
        <f t="shared" si="1"/>
        <v>0.2810790001336721</v>
      </c>
      <c r="I64" s="8">
        <f t="shared" si="2"/>
        <v>-10906.89</v>
      </c>
      <c r="J64" s="10">
        <f t="shared" si="3"/>
        <v>-0.14579454618366533</v>
      </c>
      <c r="K64" s="14" t="str">
        <f t="shared" si="4"/>
        <v>Atrasado</v>
      </c>
      <c r="L64" s="16"/>
      <c r="M64" s="17" t="e">
        <f>IF(TabelaCurvaS[[#This Row],[Avanço fabricado (%)]]&gt;=TabelaCurvaS[[#This Row],[Avanço planejado (%)]],TabelaCurvaS[[#This Row],[Avanço fabricado (%)]],NA())</f>
        <v>#N/A</v>
      </c>
      <c r="N64" s="17">
        <f>IF(TabelaCurvaS[[#This Row],[Avanço fabricado (%)]]&lt;TabelaCurvaS[[#This Row],[Avanço planejado (%)]],TabelaCurvaS[[#This Row],[Avanço fabricado (%)]],NA())</f>
        <v>0.2810790001336721</v>
      </c>
    </row>
    <row r="65" spans="1:14">
      <c r="A65" s="6">
        <v>30</v>
      </c>
      <c r="B65" s="15">
        <f t="shared" si="5"/>
        <v>46294</v>
      </c>
      <c r="C65" s="22">
        <v>1158.21</v>
      </c>
      <c r="D65" s="8">
        <f>SUM($C$36:C65)</f>
        <v>33092.620000000003</v>
      </c>
      <c r="E65" s="17">
        <f t="shared" si="0"/>
        <v>0.44235556743750853</v>
      </c>
      <c r="F65" s="23">
        <v>1054</v>
      </c>
      <c r="G65" s="8">
        <f>SUM($F$36:F65)</f>
        <v>22081.52</v>
      </c>
      <c r="H65" s="17">
        <f t="shared" si="1"/>
        <v>0.29516802566501815</v>
      </c>
      <c r="I65" s="8">
        <f t="shared" si="2"/>
        <v>-11011.100000000002</v>
      </c>
      <c r="J65" s="10">
        <f t="shared" si="3"/>
        <v>-0.14718754177249038</v>
      </c>
      <c r="K65" s="14" t="str">
        <f t="shared" si="4"/>
        <v>Atrasado</v>
      </c>
      <c r="L65" s="16"/>
      <c r="M65" s="17" t="e">
        <f>IF(TabelaCurvaS[[#This Row],[Avanço fabricado (%)]]&gt;=TabelaCurvaS[[#This Row],[Avanço planejado (%)]],TabelaCurvaS[[#This Row],[Avanço fabricado (%)]],NA())</f>
        <v>#N/A</v>
      </c>
      <c r="N65" s="17">
        <f>IF(TabelaCurvaS[[#This Row],[Avanço fabricado (%)]]&lt;TabelaCurvaS[[#This Row],[Avanço planejado (%)]],TabelaCurvaS[[#This Row],[Avanço fabricado (%)]],NA())</f>
        <v>0.29516802566501815</v>
      </c>
    </row>
    <row r="66" spans="1:14">
      <c r="A66" s="6">
        <v>31</v>
      </c>
      <c r="B66" s="15">
        <f t="shared" si="5"/>
        <v>46295</v>
      </c>
      <c r="C66" s="22">
        <v>1143.8800000000001</v>
      </c>
      <c r="D66" s="8">
        <f>SUM($C$36:C66)</f>
        <v>34236.5</v>
      </c>
      <c r="E66" s="17">
        <f t="shared" si="0"/>
        <v>0.45764603662611969</v>
      </c>
      <c r="F66" s="23">
        <v>1420</v>
      </c>
      <c r="G66" s="8">
        <f>SUM($F$36:F66)</f>
        <v>23501.52</v>
      </c>
      <c r="H66" s="17">
        <f t="shared" si="1"/>
        <v>0.31414944526132882</v>
      </c>
      <c r="I66" s="8">
        <f t="shared" si="2"/>
        <v>-10734.98</v>
      </c>
      <c r="J66" s="10">
        <f t="shared" si="3"/>
        <v>-0.14349659136479087</v>
      </c>
      <c r="K66" s="14" t="str">
        <f t="shared" si="4"/>
        <v>Atrasado</v>
      </c>
      <c r="L66" s="16"/>
      <c r="M66" s="17" t="e">
        <f>IF(TabelaCurvaS[[#This Row],[Avanço fabricado (%)]]&gt;=TabelaCurvaS[[#This Row],[Avanço planejado (%)]],TabelaCurvaS[[#This Row],[Avanço fabricado (%)]],NA())</f>
        <v>#N/A</v>
      </c>
      <c r="N66" s="17">
        <f>IF(TabelaCurvaS[[#This Row],[Avanço fabricado (%)]]&lt;TabelaCurvaS[[#This Row],[Avanço planejado (%)]],TabelaCurvaS[[#This Row],[Avanço fabricado (%)]],NA())</f>
        <v>0.31414944526132882</v>
      </c>
    </row>
    <row r="67" spans="1:14">
      <c r="A67" s="6">
        <v>32</v>
      </c>
      <c r="B67" s="15">
        <f t="shared" si="5"/>
        <v>46296</v>
      </c>
      <c r="C67" s="22">
        <v>1129.55</v>
      </c>
      <c r="D67" s="8">
        <f>SUM($C$36:C67)</f>
        <v>35366.050000000003</v>
      </c>
      <c r="E67" s="17">
        <f t="shared" si="0"/>
        <v>0.47274495388317095</v>
      </c>
      <c r="F67" s="23">
        <v>952</v>
      </c>
      <c r="G67" s="8">
        <f>SUM($F$36:F67)</f>
        <v>24453.52</v>
      </c>
      <c r="H67" s="17">
        <f t="shared" si="1"/>
        <v>0.32687501670899627</v>
      </c>
      <c r="I67" s="8">
        <f t="shared" si="2"/>
        <v>-10912.530000000002</v>
      </c>
      <c r="J67" s="10">
        <f t="shared" si="3"/>
        <v>-0.14586993717417468</v>
      </c>
      <c r="K67" s="14" t="str">
        <f t="shared" si="4"/>
        <v>Atrasado</v>
      </c>
      <c r="L67" s="16"/>
      <c r="M67" s="17" t="e">
        <f>IF(TabelaCurvaS[[#This Row],[Avanço fabricado (%)]]&gt;=TabelaCurvaS[[#This Row],[Avanço planejado (%)]],TabelaCurvaS[[#This Row],[Avanço fabricado (%)]],NA())</f>
        <v>#N/A</v>
      </c>
      <c r="N67" s="17">
        <f>IF(TabelaCurvaS[[#This Row],[Avanço fabricado (%)]]&lt;TabelaCurvaS[[#This Row],[Avanço planejado (%)]],TabelaCurvaS[[#This Row],[Avanço fabricado (%)]],NA())</f>
        <v>0.32687501670899627</v>
      </c>
    </row>
    <row r="68" spans="1:14">
      <c r="A68" s="6">
        <v>33</v>
      </c>
      <c r="B68" s="15">
        <f t="shared" si="5"/>
        <v>46297</v>
      </c>
      <c r="C68" s="22">
        <v>1115.22</v>
      </c>
      <c r="D68" s="8">
        <f>SUM($C$36:C68)</f>
        <v>36481.270000000004</v>
      </c>
      <c r="E68" s="17">
        <f t="shared" ref="E68:E115" si="6">D68/$D$28</f>
        <v>0.4876523192086622</v>
      </c>
      <c r="F68" s="23">
        <v>1221</v>
      </c>
      <c r="G68" s="8">
        <f>SUM($F$36:F68)</f>
        <v>25674.52</v>
      </c>
      <c r="H68" s="17">
        <f t="shared" ref="H68:H95" si="7">G68/$D$28</f>
        <v>0.34319636412244364</v>
      </c>
      <c r="I68" s="8">
        <f t="shared" ref="I68:I95" si="8">G68-D68</f>
        <v>-10806.750000000004</v>
      </c>
      <c r="J68" s="10">
        <f t="shared" ref="J68:J95" si="9">H68-E68</f>
        <v>-0.14445595508621856</v>
      </c>
      <c r="K68" s="14" t="str">
        <f t="shared" ref="K68:K95" si="10">IF(H68&gt;=E68,"No prazo","Atrasado")</f>
        <v>Atrasado</v>
      </c>
      <c r="L68" s="16"/>
      <c r="M68" s="17" t="e">
        <f>IF(TabelaCurvaS[[#This Row],[Avanço fabricado (%)]]&gt;=TabelaCurvaS[[#This Row],[Avanço planejado (%)]],TabelaCurvaS[[#This Row],[Avanço fabricado (%)]],NA())</f>
        <v>#N/A</v>
      </c>
      <c r="N68" s="17">
        <f>IF(TabelaCurvaS[[#This Row],[Avanço fabricado (%)]]&lt;TabelaCurvaS[[#This Row],[Avanço planejado (%)]],TabelaCurvaS[[#This Row],[Avanço fabricado (%)]],NA())</f>
        <v>0.34319636412244364</v>
      </c>
    </row>
    <row r="69" spans="1:14">
      <c r="A69" s="6">
        <v>34</v>
      </c>
      <c r="B69" s="15">
        <f t="shared" si="5"/>
        <v>46298</v>
      </c>
      <c r="C69" s="22">
        <v>1100.8900000000001</v>
      </c>
      <c r="D69" s="8">
        <f>SUM($C$36:C69)</f>
        <v>37582.160000000003</v>
      </c>
      <c r="E69" s="17">
        <f t="shared" si="6"/>
        <v>0.5023681326025935</v>
      </c>
      <c r="F69" s="23">
        <v>0</v>
      </c>
      <c r="G69" s="8">
        <f>SUM($F$36:F69)</f>
        <v>25674.52</v>
      </c>
      <c r="H69" s="17">
        <f t="shared" si="7"/>
        <v>0.34319636412244364</v>
      </c>
      <c r="I69" s="8">
        <f t="shared" si="8"/>
        <v>-11907.640000000003</v>
      </c>
      <c r="J69" s="10">
        <f t="shared" si="9"/>
        <v>-0.15917176848014986</v>
      </c>
      <c r="K69" s="14" t="str">
        <f t="shared" si="10"/>
        <v>Atrasado</v>
      </c>
      <c r="L69" s="16"/>
      <c r="M69" s="17" t="e">
        <f>IF(TabelaCurvaS[[#This Row],[Avanço fabricado (%)]]&gt;=TabelaCurvaS[[#This Row],[Avanço planejado (%)]],TabelaCurvaS[[#This Row],[Avanço fabricado (%)]],NA())</f>
        <v>#N/A</v>
      </c>
      <c r="N69" s="17">
        <f>IF(TabelaCurvaS[[#This Row],[Avanço fabricado (%)]]&lt;TabelaCurvaS[[#This Row],[Avanço planejado (%)]],TabelaCurvaS[[#This Row],[Avanço fabricado (%)]],NA())</f>
        <v>0.34319636412244364</v>
      </c>
    </row>
    <row r="70" spans="1:14">
      <c r="A70" s="6">
        <v>35</v>
      </c>
      <c r="B70" s="15">
        <f t="shared" si="5"/>
        <v>46299</v>
      </c>
      <c r="C70" s="22">
        <v>1086.56</v>
      </c>
      <c r="D70" s="8">
        <f>SUM($C$36:C70)</f>
        <v>38668.720000000001</v>
      </c>
      <c r="E70" s="17">
        <f t="shared" si="6"/>
        <v>0.51689239406496479</v>
      </c>
      <c r="F70" s="23">
        <v>0</v>
      </c>
      <c r="G70" s="8">
        <f>SUM($F$36:F70)</f>
        <v>25674.52</v>
      </c>
      <c r="H70" s="17">
        <f t="shared" si="7"/>
        <v>0.34319636412244364</v>
      </c>
      <c r="I70" s="8">
        <f t="shared" si="8"/>
        <v>-12994.2</v>
      </c>
      <c r="J70" s="10">
        <f t="shared" si="9"/>
        <v>-0.17369602994252115</v>
      </c>
      <c r="K70" s="14" t="str">
        <f t="shared" si="10"/>
        <v>Atrasado</v>
      </c>
      <c r="L70" s="16"/>
      <c r="M70" s="17" t="e">
        <f>IF(TabelaCurvaS[[#This Row],[Avanço fabricado (%)]]&gt;=TabelaCurvaS[[#This Row],[Avanço planejado (%)]],TabelaCurvaS[[#This Row],[Avanço fabricado (%)]],NA())</f>
        <v>#N/A</v>
      </c>
      <c r="N70" s="17">
        <f>IF(TabelaCurvaS[[#This Row],[Avanço fabricado (%)]]&lt;TabelaCurvaS[[#This Row],[Avanço planejado (%)]],TabelaCurvaS[[#This Row],[Avanço fabricado (%)]],NA())</f>
        <v>0.34319636412244364</v>
      </c>
    </row>
    <row r="71" spans="1:14">
      <c r="A71" s="6">
        <v>36</v>
      </c>
      <c r="B71" s="15">
        <f t="shared" si="5"/>
        <v>46300</v>
      </c>
      <c r="C71" s="22">
        <v>1072.23</v>
      </c>
      <c r="D71" s="8">
        <f>SUM($C$36:C71)</f>
        <v>39740.950000000004</v>
      </c>
      <c r="E71" s="17">
        <f t="shared" si="6"/>
        <v>0.53122510359577624</v>
      </c>
      <c r="F71" s="23">
        <v>1032.6500000000001</v>
      </c>
      <c r="G71" s="8">
        <f>SUM($F$36:F71)</f>
        <v>26707.170000000002</v>
      </c>
      <c r="H71" s="17">
        <f t="shared" si="7"/>
        <v>0.35700000000000015</v>
      </c>
      <c r="I71" s="8">
        <f t="shared" si="8"/>
        <v>-13033.780000000002</v>
      </c>
      <c r="J71" s="10">
        <f t="shared" si="9"/>
        <v>-0.17422510359577609</v>
      </c>
      <c r="K71" s="14" t="str">
        <f t="shared" si="10"/>
        <v>Atrasado</v>
      </c>
      <c r="L71" s="16"/>
      <c r="M71" s="17" t="e">
        <f>IF(TabelaCurvaS[[#This Row],[Avanço fabricado (%)]]&gt;=TabelaCurvaS[[#This Row],[Avanço planejado (%)]],TabelaCurvaS[[#This Row],[Avanço fabricado (%)]],NA())</f>
        <v>#N/A</v>
      </c>
      <c r="N71" s="17">
        <f>IF(TabelaCurvaS[[#This Row],[Avanço fabricado (%)]]&lt;TabelaCurvaS[[#This Row],[Avanço planejado (%)]],TabelaCurvaS[[#This Row],[Avanço fabricado (%)]],NA())</f>
        <v>0.35700000000000015</v>
      </c>
    </row>
    <row r="72" spans="1:14">
      <c r="A72" s="6">
        <v>37</v>
      </c>
      <c r="B72" s="15">
        <f t="shared" si="5"/>
        <v>46301</v>
      </c>
      <c r="C72" s="22">
        <v>1057.9000000000001</v>
      </c>
      <c r="D72" s="8">
        <f>SUM($C$36:C72)</f>
        <v>40798.850000000006</v>
      </c>
      <c r="E72" s="17">
        <f t="shared" si="6"/>
        <v>0.54536626119502774</v>
      </c>
      <c r="F72" s="23">
        <v>467.74</v>
      </c>
      <c r="G72" s="8">
        <f>SUM($F$36:F72)</f>
        <v>27174.910000000003</v>
      </c>
      <c r="H72" s="17">
        <f t="shared" si="7"/>
        <v>0.36325237267744975</v>
      </c>
      <c r="I72" s="8">
        <f t="shared" si="8"/>
        <v>-13623.940000000002</v>
      </c>
      <c r="J72" s="10">
        <f t="shared" si="9"/>
        <v>-0.18211388851757798</v>
      </c>
      <c r="K72" s="14" t="str">
        <f t="shared" si="10"/>
        <v>Atrasado</v>
      </c>
      <c r="L72" s="16"/>
      <c r="M72" s="17" t="e">
        <f>IF(TabelaCurvaS[[#This Row],[Avanço fabricado (%)]]&gt;=TabelaCurvaS[[#This Row],[Avanço planejado (%)]],TabelaCurvaS[[#This Row],[Avanço fabricado (%)]],NA())</f>
        <v>#N/A</v>
      </c>
      <c r="N72" s="17">
        <f>IF(TabelaCurvaS[[#This Row],[Avanço fabricado (%)]]&lt;TabelaCurvaS[[#This Row],[Avanço planejado (%)]],TabelaCurvaS[[#This Row],[Avanço fabricado (%)]],NA())</f>
        <v>0.36325237267744975</v>
      </c>
    </row>
    <row r="73" spans="1:14">
      <c r="A73" s="6">
        <v>38</v>
      </c>
      <c r="B73" s="15">
        <f t="shared" si="5"/>
        <v>46302</v>
      </c>
      <c r="C73" s="22">
        <v>1043.57</v>
      </c>
      <c r="D73" s="8">
        <f>SUM($C$36:C73)</f>
        <v>41842.420000000006</v>
      </c>
      <c r="E73" s="17">
        <f t="shared" si="6"/>
        <v>0.55931586686271917</v>
      </c>
      <c r="F73" s="9">
        <v>571.76</v>
      </c>
      <c r="G73" s="8">
        <f>SUM($F$36:F73)</f>
        <v>27746.670000000002</v>
      </c>
      <c r="H73" s="17">
        <f t="shared" si="7"/>
        <v>0.37089520117631347</v>
      </c>
      <c r="I73" s="8">
        <f t="shared" si="8"/>
        <v>-14095.750000000004</v>
      </c>
      <c r="J73" s="10">
        <f t="shared" si="9"/>
        <v>-0.1884206656864057</v>
      </c>
      <c r="K73" s="14" t="str">
        <f t="shared" si="10"/>
        <v>Atrasado</v>
      </c>
      <c r="L73" s="16"/>
      <c r="M73" s="17" t="e">
        <f>IF(TabelaCurvaS[[#This Row],[Avanço fabricado (%)]]&gt;=TabelaCurvaS[[#This Row],[Avanço planejado (%)]],TabelaCurvaS[[#This Row],[Avanço fabricado (%)]],NA())</f>
        <v>#N/A</v>
      </c>
      <c r="N73" s="17">
        <f>IF(TabelaCurvaS[[#This Row],[Avanço fabricado (%)]]&lt;TabelaCurvaS[[#This Row],[Avanço planejado (%)]],TabelaCurvaS[[#This Row],[Avanço fabricado (%)]],NA())</f>
        <v>0.37089520117631347</v>
      </c>
    </row>
    <row r="74" spans="1:14">
      <c r="A74" s="6">
        <v>39</v>
      </c>
      <c r="B74" s="15">
        <f t="shared" si="5"/>
        <v>46303</v>
      </c>
      <c r="C74" s="22">
        <v>1029.24</v>
      </c>
      <c r="D74" s="8">
        <f>SUM($C$36:C74)</f>
        <v>42871.66</v>
      </c>
      <c r="E74" s="17">
        <f t="shared" si="6"/>
        <v>0.57307392059885065</v>
      </c>
      <c r="F74" s="9">
        <v>617.9</v>
      </c>
      <c r="G74" s="8">
        <f>SUM($F$36:F74)</f>
        <v>28364.570000000003</v>
      </c>
      <c r="H74" s="17">
        <f t="shared" si="7"/>
        <v>0.3791547921400884</v>
      </c>
      <c r="I74" s="8">
        <f t="shared" si="8"/>
        <v>-14507.09</v>
      </c>
      <c r="J74" s="10">
        <f t="shared" si="9"/>
        <v>-0.19391912845876225</v>
      </c>
      <c r="K74" s="14" t="str">
        <f t="shared" si="10"/>
        <v>Atrasado</v>
      </c>
      <c r="L74" s="16"/>
      <c r="M74" s="17" t="e">
        <f>IF(TabelaCurvaS[[#This Row],[Avanço fabricado (%)]]&gt;=TabelaCurvaS[[#This Row],[Avanço planejado (%)]],TabelaCurvaS[[#This Row],[Avanço fabricado (%)]],NA())</f>
        <v>#N/A</v>
      </c>
      <c r="N74" s="17">
        <f>IF(TabelaCurvaS[[#This Row],[Avanço fabricado (%)]]&lt;TabelaCurvaS[[#This Row],[Avanço planejado (%)]],TabelaCurvaS[[#This Row],[Avanço fabricado (%)]],NA())</f>
        <v>0.3791547921400884</v>
      </c>
    </row>
    <row r="75" spans="1:14">
      <c r="A75" s="6">
        <v>40</v>
      </c>
      <c r="B75" s="15">
        <f t="shared" si="5"/>
        <v>46304</v>
      </c>
      <c r="C75" s="22">
        <v>1014.91</v>
      </c>
      <c r="D75" s="8">
        <f>SUM($C$36:C75)</f>
        <v>43886.570000000007</v>
      </c>
      <c r="E75" s="17">
        <f t="shared" si="6"/>
        <v>0.58664042240342229</v>
      </c>
      <c r="F75" s="9">
        <v>133.94</v>
      </c>
      <c r="G75" s="8">
        <f>SUM($F$36:F75)</f>
        <v>28498.510000000002</v>
      </c>
      <c r="H75" s="17">
        <f t="shared" si="7"/>
        <v>0.38094519449271508</v>
      </c>
      <c r="I75" s="8">
        <f t="shared" si="8"/>
        <v>-15388.060000000005</v>
      </c>
      <c r="J75" s="10">
        <f t="shared" si="9"/>
        <v>-0.20569522791070721</v>
      </c>
      <c r="K75" s="14" t="str">
        <f t="shared" si="10"/>
        <v>Atrasado</v>
      </c>
      <c r="L75" s="16"/>
      <c r="M75" s="17" t="e">
        <f>IF(TabelaCurvaS[[#This Row],[Avanço fabricado (%)]]&gt;=TabelaCurvaS[[#This Row],[Avanço planejado (%)]],TabelaCurvaS[[#This Row],[Avanço fabricado (%)]],NA())</f>
        <v>#N/A</v>
      </c>
      <c r="N75" s="17">
        <f>IF(TabelaCurvaS[[#This Row],[Avanço fabricado (%)]]&lt;TabelaCurvaS[[#This Row],[Avanço planejado (%)]],TabelaCurvaS[[#This Row],[Avanço fabricado (%)]],NA())</f>
        <v>0.38094519449271508</v>
      </c>
    </row>
    <row r="76" spans="1:14">
      <c r="A76" s="6">
        <v>41</v>
      </c>
      <c r="B76" s="15">
        <f t="shared" si="5"/>
        <v>46305</v>
      </c>
      <c r="C76" s="22">
        <v>1000.58</v>
      </c>
      <c r="D76" s="8">
        <f>SUM($C$36:C76)</f>
        <v>44887.150000000009</v>
      </c>
      <c r="E76" s="17">
        <f t="shared" si="6"/>
        <v>0.60001537227643398</v>
      </c>
      <c r="F76" s="9">
        <v>0</v>
      </c>
      <c r="G76" s="8">
        <f>SUM($F$36:F76)</f>
        <v>28498.510000000002</v>
      </c>
      <c r="H76" s="17">
        <f t="shared" si="7"/>
        <v>0.38094519449271508</v>
      </c>
      <c r="I76" s="8">
        <f t="shared" si="8"/>
        <v>-16388.640000000007</v>
      </c>
      <c r="J76" s="10">
        <f t="shared" si="9"/>
        <v>-0.2190701777837189</v>
      </c>
      <c r="K76" s="14" t="str">
        <f t="shared" si="10"/>
        <v>Atrasado</v>
      </c>
      <c r="L76" s="16"/>
      <c r="M76" s="17" t="e">
        <f>IF(TabelaCurvaS[[#This Row],[Avanço fabricado (%)]]&gt;=TabelaCurvaS[[#This Row],[Avanço planejado (%)]],TabelaCurvaS[[#This Row],[Avanço fabricado (%)]],NA())</f>
        <v>#N/A</v>
      </c>
      <c r="N76" s="17">
        <f>IF(TabelaCurvaS[[#This Row],[Avanço fabricado (%)]]&lt;TabelaCurvaS[[#This Row],[Avanço planejado (%)]],TabelaCurvaS[[#This Row],[Avanço fabricado (%)]],NA())</f>
        <v>0.38094519449271508</v>
      </c>
    </row>
    <row r="77" spans="1:14">
      <c r="A77" s="6">
        <v>42</v>
      </c>
      <c r="B77" s="15">
        <f t="shared" si="5"/>
        <v>46306</v>
      </c>
      <c r="C77" s="22">
        <v>986.25000000000102</v>
      </c>
      <c r="D77" s="8">
        <f>SUM($C$36:C77)</f>
        <v>45873.400000000009</v>
      </c>
      <c r="E77" s="17">
        <f t="shared" si="6"/>
        <v>0.61319877021788571</v>
      </c>
      <c r="F77" s="9">
        <v>0</v>
      </c>
      <c r="G77" s="8">
        <f>SUM($F$36:F77)</f>
        <v>28498.510000000002</v>
      </c>
      <c r="H77" s="17">
        <f t="shared" si="7"/>
        <v>0.38094519449271508</v>
      </c>
      <c r="I77" s="8">
        <f t="shared" si="8"/>
        <v>-17374.890000000007</v>
      </c>
      <c r="J77" s="10">
        <f t="shared" si="9"/>
        <v>-0.23225357572517064</v>
      </c>
      <c r="K77" s="14" t="str">
        <f t="shared" si="10"/>
        <v>Atrasado</v>
      </c>
      <c r="L77" s="16"/>
      <c r="M77" s="17" t="e">
        <f>IF(TabelaCurvaS[[#This Row],[Avanço fabricado (%)]]&gt;=TabelaCurvaS[[#This Row],[Avanço planejado (%)]],TabelaCurvaS[[#This Row],[Avanço fabricado (%)]],NA())</f>
        <v>#N/A</v>
      </c>
      <c r="N77" s="17">
        <f>IF(TabelaCurvaS[[#This Row],[Avanço fabricado (%)]]&lt;TabelaCurvaS[[#This Row],[Avanço planejado (%)]],TabelaCurvaS[[#This Row],[Avanço fabricado (%)]],NA())</f>
        <v>0.38094519449271508</v>
      </c>
    </row>
    <row r="78" spans="1:14">
      <c r="A78" s="6">
        <v>43</v>
      </c>
      <c r="B78" s="15">
        <f t="shared" si="5"/>
        <v>46307</v>
      </c>
      <c r="C78" s="22">
        <v>971.92000000000098</v>
      </c>
      <c r="D78" s="8">
        <f>SUM($C$36:C78)</f>
        <v>46845.320000000007</v>
      </c>
      <c r="E78" s="17">
        <f t="shared" si="6"/>
        <v>0.62619061622777739</v>
      </c>
      <c r="F78" s="9">
        <v>0</v>
      </c>
      <c r="G78" s="8">
        <f>SUM($F$36:F78)</f>
        <v>28498.510000000002</v>
      </c>
      <c r="H78" s="17">
        <f t="shared" si="7"/>
        <v>0.38094519449271508</v>
      </c>
      <c r="I78" s="8">
        <f t="shared" si="8"/>
        <v>-18346.810000000005</v>
      </c>
      <c r="J78" s="10">
        <f t="shared" si="9"/>
        <v>-0.24524542173506231</v>
      </c>
      <c r="K78" s="14" t="str">
        <f t="shared" si="10"/>
        <v>Atrasado</v>
      </c>
      <c r="L78" s="16"/>
      <c r="M78" s="17" t="e">
        <f>IF(TabelaCurvaS[[#This Row],[Avanço fabricado (%)]]&gt;=TabelaCurvaS[[#This Row],[Avanço planejado (%)]],TabelaCurvaS[[#This Row],[Avanço fabricado (%)]],NA())</f>
        <v>#N/A</v>
      </c>
      <c r="N78" s="17">
        <f>IF(TabelaCurvaS[[#This Row],[Avanço fabricado (%)]]&lt;TabelaCurvaS[[#This Row],[Avanço planejado (%)]],TabelaCurvaS[[#This Row],[Avanço fabricado (%)]],NA())</f>
        <v>0.38094519449271508</v>
      </c>
    </row>
    <row r="79" spans="1:14">
      <c r="A79" s="6">
        <v>44</v>
      </c>
      <c r="B79" s="15">
        <f t="shared" si="5"/>
        <v>46308</v>
      </c>
      <c r="C79" s="22">
        <v>1221</v>
      </c>
      <c r="D79" s="8">
        <f>SUM($C$36:C79)</f>
        <v>48066.320000000007</v>
      </c>
      <c r="E79" s="17">
        <f t="shared" si="6"/>
        <v>0.64251196364122476</v>
      </c>
      <c r="F79" s="9"/>
      <c r="G79" s="8">
        <f>SUM($F$36:F79)</f>
        <v>28498.510000000002</v>
      </c>
      <c r="H79" s="17">
        <f t="shared" si="7"/>
        <v>0.38094519449271508</v>
      </c>
      <c r="I79" s="8">
        <f t="shared" si="8"/>
        <v>-19567.810000000005</v>
      </c>
      <c r="J79" s="10">
        <f t="shared" si="9"/>
        <v>-0.26156676914850968</v>
      </c>
      <c r="K79" s="14" t="str">
        <f t="shared" si="10"/>
        <v>Atrasado</v>
      </c>
      <c r="L79" s="16"/>
      <c r="M79" s="17" t="e">
        <f>IF(TabelaCurvaS[[#This Row],[Avanço fabricado (%)]]&gt;=TabelaCurvaS[[#This Row],[Avanço planejado (%)]],TabelaCurvaS[[#This Row],[Avanço fabricado (%)]],NA())</f>
        <v>#N/A</v>
      </c>
      <c r="N79" s="17">
        <f>IF(TabelaCurvaS[[#This Row],[Avanço fabricado (%)]]&lt;TabelaCurvaS[[#This Row],[Avanço planejado (%)]],TabelaCurvaS[[#This Row],[Avanço fabricado (%)]],NA())</f>
        <v>0.38094519449271508</v>
      </c>
    </row>
    <row r="80" spans="1:14">
      <c r="A80" s="6">
        <v>45</v>
      </c>
      <c r="B80" s="15">
        <f t="shared" si="5"/>
        <v>46309</v>
      </c>
      <c r="C80" s="22">
        <v>943.26000000000101</v>
      </c>
      <c r="D80" s="8">
        <f>SUM($C$36:C80)</f>
        <v>49009.580000000009</v>
      </c>
      <c r="E80" s="17">
        <f t="shared" si="6"/>
        <v>0.65512070578799664</v>
      </c>
      <c r="F80" s="9"/>
      <c r="G80" s="8">
        <f>SUM($F$36:F80)</f>
        <v>28498.510000000002</v>
      </c>
      <c r="H80" s="17">
        <f t="shared" si="7"/>
        <v>0.38094519449271508</v>
      </c>
      <c r="I80" s="8">
        <f t="shared" si="8"/>
        <v>-20511.070000000007</v>
      </c>
      <c r="J80" s="10">
        <f t="shared" si="9"/>
        <v>-0.27417551129528156</v>
      </c>
      <c r="K80" s="14" t="str">
        <f t="shared" si="10"/>
        <v>Atrasado</v>
      </c>
      <c r="L80" s="16"/>
      <c r="M80" s="17" t="e">
        <f>IF(TabelaCurvaS[[#This Row],[Avanço fabricado (%)]]&gt;=TabelaCurvaS[[#This Row],[Avanço planejado (%)]],TabelaCurvaS[[#This Row],[Avanço fabricado (%)]],NA())</f>
        <v>#N/A</v>
      </c>
      <c r="N80" s="17">
        <f>IF(TabelaCurvaS[[#This Row],[Avanço fabricado (%)]]&lt;TabelaCurvaS[[#This Row],[Avanço planejado (%)]],TabelaCurvaS[[#This Row],[Avanço fabricado (%)]],NA())</f>
        <v>0.38094519449271508</v>
      </c>
    </row>
    <row r="81" spans="1:14">
      <c r="A81" s="6">
        <v>46</v>
      </c>
      <c r="B81" s="15">
        <f t="shared" si="5"/>
        <v>46310</v>
      </c>
      <c r="C81" s="22">
        <v>928.93000000000097</v>
      </c>
      <c r="D81" s="8">
        <f>SUM($C$36:C81)</f>
        <v>49938.510000000009</v>
      </c>
      <c r="E81" s="17">
        <f t="shared" si="6"/>
        <v>0.66753789600320856</v>
      </c>
      <c r="F81" s="9"/>
      <c r="G81" s="8">
        <f>SUM($F$36:F81)</f>
        <v>28498.510000000002</v>
      </c>
      <c r="H81" s="17">
        <f t="shared" si="7"/>
        <v>0.38094519449271508</v>
      </c>
      <c r="I81" s="8">
        <f t="shared" si="8"/>
        <v>-21440.000000000007</v>
      </c>
      <c r="J81" s="10">
        <f t="shared" si="9"/>
        <v>-0.28659270151049349</v>
      </c>
      <c r="K81" s="14" t="str">
        <f t="shared" si="10"/>
        <v>Atrasado</v>
      </c>
      <c r="L81" s="16"/>
      <c r="M81" s="17" t="e">
        <f>IF(TabelaCurvaS[[#This Row],[Avanço fabricado (%)]]&gt;=TabelaCurvaS[[#This Row],[Avanço planejado (%)]],TabelaCurvaS[[#This Row],[Avanço fabricado (%)]],NA())</f>
        <v>#N/A</v>
      </c>
      <c r="N81" s="17">
        <f>IF(TabelaCurvaS[[#This Row],[Avanço fabricado (%)]]&lt;TabelaCurvaS[[#This Row],[Avanço planejado (%)]],TabelaCurvaS[[#This Row],[Avanço fabricado (%)]],NA())</f>
        <v>0.38094519449271508</v>
      </c>
    </row>
    <row r="82" spans="1:14">
      <c r="A82" s="6">
        <v>47</v>
      </c>
      <c r="B82" s="15">
        <f t="shared" si="5"/>
        <v>46311</v>
      </c>
      <c r="C82" s="22">
        <v>914.60000000000196</v>
      </c>
      <c r="D82" s="8">
        <f>SUM($C$36:C82)</f>
        <v>50853.110000000008</v>
      </c>
      <c r="E82" s="17">
        <f t="shared" si="6"/>
        <v>0.67976353428686043</v>
      </c>
      <c r="F82" s="9"/>
      <c r="G82" s="8">
        <f>SUM($F$36:F82)</f>
        <v>28498.510000000002</v>
      </c>
      <c r="H82" s="17">
        <f t="shared" si="7"/>
        <v>0.38094519449271508</v>
      </c>
      <c r="I82" s="8">
        <f t="shared" si="8"/>
        <v>-22354.600000000006</v>
      </c>
      <c r="J82" s="10">
        <f t="shared" si="9"/>
        <v>-0.29881833979414535</v>
      </c>
      <c r="K82" s="14" t="str">
        <f t="shared" si="10"/>
        <v>Atrasado</v>
      </c>
      <c r="L82" s="16"/>
      <c r="M82" s="17" t="e">
        <f>IF(TabelaCurvaS[[#This Row],[Avanço fabricado (%)]]&gt;=TabelaCurvaS[[#This Row],[Avanço planejado (%)]],TabelaCurvaS[[#This Row],[Avanço fabricado (%)]],NA())</f>
        <v>#N/A</v>
      </c>
      <c r="N82" s="17">
        <f>IF(TabelaCurvaS[[#This Row],[Avanço fabricado (%)]]&lt;TabelaCurvaS[[#This Row],[Avanço planejado (%)]],TabelaCurvaS[[#This Row],[Avanço fabricado (%)]],NA())</f>
        <v>0.38094519449271508</v>
      </c>
    </row>
    <row r="83" spans="1:14">
      <c r="A83" s="6">
        <v>48</v>
      </c>
      <c r="B83" s="15">
        <f t="shared" si="5"/>
        <v>46312</v>
      </c>
      <c r="C83" s="22">
        <v>1125</v>
      </c>
      <c r="D83" s="8">
        <f>SUM($C$36:C83)</f>
        <v>51978.110000000008</v>
      </c>
      <c r="E83" s="17">
        <f t="shared" si="6"/>
        <v>0.69480163079802204</v>
      </c>
      <c r="F83" s="9"/>
      <c r="G83" s="8">
        <f>SUM($F$36:F83)</f>
        <v>28498.510000000002</v>
      </c>
      <c r="H83" s="17">
        <f t="shared" si="7"/>
        <v>0.38094519449271508</v>
      </c>
      <c r="I83" s="8">
        <f t="shared" si="8"/>
        <v>-23479.600000000006</v>
      </c>
      <c r="J83" s="10">
        <f t="shared" si="9"/>
        <v>-0.31385643630530696</v>
      </c>
      <c r="K83" s="14" t="str">
        <f t="shared" si="10"/>
        <v>Atrasado</v>
      </c>
      <c r="L83" s="16"/>
      <c r="M83" s="17" t="e">
        <f>IF(TabelaCurvaS[[#This Row],[Avanço fabricado (%)]]&gt;=TabelaCurvaS[[#This Row],[Avanço planejado (%)]],TabelaCurvaS[[#This Row],[Avanço fabricado (%)]],NA())</f>
        <v>#N/A</v>
      </c>
      <c r="N83" s="17">
        <f>IF(TabelaCurvaS[[#This Row],[Avanço fabricado (%)]]&lt;TabelaCurvaS[[#This Row],[Avanço planejado (%)]],TabelaCurvaS[[#This Row],[Avanço fabricado (%)]],NA())</f>
        <v>0.38094519449271508</v>
      </c>
    </row>
    <row r="84" spans="1:14">
      <c r="A84" s="6">
        <v>49</v>
      </c>
      <c r="B84" s="15">
        <f t="shared" si="5"/>
        <v>46313</v>
      </c>
      <c r="C84" s="22">
        <v>885.94000000000199</v>
      </c>
      <c r="D84" s="8">
        <f>SUM($C$36:C84)</f>
        <v>52864.05000000001</v>
      </c>
      <c r="E84" s="17">
        <f t="shared" si="6"/>
        <v>0.70664416521855411</v>
      </c>
      <c r="F84" s="9"/>
      <c r="G84" s="8">
        <f>SUM($F$36:F84)</f>
        <v>28498.510000000002</v>
      </c>
      <c r="H84" s="17">
        <f t="shared" si="7"/>
        <v>0.38094519449271508</v>
      </c>
      <c r="I84" s="8">
        <f t="shared" si="8"/>
        <v>-24365.540000000008</v>
      </c>
      <c r="J84" s="10">
        <f t="shared" si="9"/>
        <v>-0.32569897072583903</v>
      </c>
      <c r="K84" s="14" t="str">
        <f t="shared" si="10"/>
        <v>Atrasado</v>
      </c>
      <c r="L84" s="16"/>
      <c r="M84" s="17" t="e">
        <f>IF(TabelaCurvaS[[#This Row],[Avanço fabricado (%)]]&gt;=TabelaCurvaS[[#This Row],[Avanço planejado (%)]],TabelaCurvaS[[#This Row],[Avanço fabricado (%)]],NA())</f>
        <v>#N/A</v>
      </c>
      <c r="N84" s="17">
        <f>IF(TabelaCurvaS[[#This Row],[Avanço fabricado (%)]]&lt;TabelaCurvaS[[#This Row],[Avanço planejado (%)]],TabelaCurvaS[[#This Row],[Avanço fabricado (%)]],NA())</f>
        <v>0.38094519449271508</v>
      </c>
    </row>
    <row r="85" spans="1:14">
      <c r="A85" s="6">
        <v>50</v>
      </c>
      <c r="B85" s="15">
        <f t="shared" si="5"/>
        <v>46314</v>
      </c>
      <c r="C85" s="22">
        <v>871.61000000000195</v>
      </c>
      <c r="D85" s="8">
        <f>SUM($C$36:C85)</f>
        <v>53735.660000000011</v>
      </c>
      <c r="E85" s="17">
        <f t="shared" si="6"/>
        <v>0.71829514770752612</v>
      </c>
      <c r="F85" s="9"/>
      <c r="G85" s="8">
        <f>SUM($F$36:F85)</f>
        <v>28498.510000000002</v>
      </c>
      <c r="H85" s="17">
        <f t="shared" si="7"/>
        <v>0.38094519449271508</v>
      </c>
      <c r="I85" s="8">
        <f t="shared" si="8"/>
        <v>-25237.150000000009</v>
      </c>
      <c r="J85" s="10">
        <f t="shared" si="9"/>
        <v>-0.33734995321481104</v>
      </c>
      <c r="K85" s="14" t="str">
        <f t="shared" si="10"/>
        <v>Atrasado</v>
      </c>
      <c r="L85" s="16"/>
      <c r="M85" s="17" t="e">
        <f>IF(TabelaCurvaS[[#This Row],[Avanço fabricado (%)]]&gt;=TabelaCurvaS[[#This Row],[Avanço planejado (%)]],TabelaCurvaS[[#This Row],[Avanço fabricado (%)]],NA())</f>
        <v>#N/A</v>
      </c>
      <c r="N85" s="17">
        <f>IF(TabelaCurvaS[[#This Row],[Avanço fabricado (%)]]&lt;TabelaCurvaS[[#This Row],[Avanço planejado (%)]],TabelaCurvaS[[#This Row],[Avanço fabricado (%)]],NA())</f>
        <v>0.38094519449271508</v>
      </c>
    </row>
    <row r="86" spans="1:14">
      <c r="A86" s="6">
        <v>51</v>
      </c>
      <c r="B86" s="15">
        <f t="shared" si="5"/>
        <v>46315</v>
      </c>
      <c r="C86" s="22">
        <v>857.28000000000202</v>
      </c>
      <c r="D86" s="8">
        <f>SUM($C$36:C86)</f>
        <v>54592.94000000001</v>
      </c>
      <c r="E86" s="17">
        <f t="shared" si="6"/>
        <v>0.72975457826493828</v>
      </c>
      <c r="F86" s="9"/>
      <c r="G86" s="8">
        <f>SUM($F$36:F86)</f>
        <v>28498.510000000002</v>
      </c>
      <c r="H86" s="17">
        <f t="shared" si="7"/>
        <v>0.38094519449271508</v>
      </c>
      <c r="I86" s="8">
        <f t="shared" si="8"/>
        <v>-26094.430000000008</v>
      </c>
      <c r="J86" s="10">
        <f t="shared" si="9"/>
        <v>-0.3488093837722232</v>
      </c>
      <c r="K86" s="14" t="str">
        <f t="shared" si="10"/>
        <v>Atrasado</v>
      </c>
      <c r="L86" s="16"/>
      <c r="M86" s="17" t="e">
        <f>IF(TabelaCurvaS[[#This Row],[Avanço fabricado (%)]]&gt;=TabelaCurvaS[[#This Row],[Avanço planejado (%)]],TabelaCurvaS[[#This Row],[Avanço fabricado (%)]],NA())</f>
        <v>#N/A</v>
      </c>
      <c r="N86" s="17">
        <f>IF(TabelaCurvaS[[#This Row],[Avanço fabricado (%)]]&lt;TabelaCurvaS[[#This Row],[Avanço planejado (%)]],TabelaCurvaS[[#This Row],[Avanço fabricado (%)]],NA())</f>
        <v>0.38094519449271508</v>
      </c>
    </row>
    <row r="87" spans="1:14">
      <c r="A87" s="6">
        <v>52</v>
      </c>
      <c r="B87" s="15">
        <f t="shared" si="5"/>
        <v>46316</v>
      </c>
      <c r="C87" s="22">
        <v>1325</v>
      </c>
      <c r="D87" s="8">
        <f>SUM($C$36:C87)</f>
        <v>55917.94000000001</v>
      </c>
      <c r="E87" s="17">
        <f t="shared" si="6"/>
        <v>0.74746611415586195</v>
      </c>
      <c r="F87" s="9"/>
      <c r="G87" s="8">
        <f>SUM($F$36:F87)</f>
        <v>28498.510000000002</v>
      </c>
      <c r="H87" s="17">
        <f t="shared" si="7"/>
        <v>0.38094519449271508</v>
      </c>
      <c r="I87" s="8">
        <f t="shared" si="8"/>
        <v>-27419.430000000008</v>
      </c>
      <c r="J87" s="10">
        <f t="shared" si="9"/>
        <v>-0.36652091966314687</v>
      </c>
      <c r="K87" s="14" t="str">
        <f t="shared" si="10"/>
        <v>Atrasado</v>
      </c>
      <c r="L87" s="16"/>
      <c r="M87" s="17" t="e">
        <f>IF(TabelaCurvaS[[#This Row],[Avanço fabricado (%)]]&gt;=TabelaCurvaS[[#This Row],[Avanço planejado (%)]],TabelaCurvaS[[#This Row],[Avanço fabricado (%)]],NA())</f>
        <v>#N/A</v>
      </c>
      <c r="N87" s="17">
        <f>IF(TabelaCurvaS[[#This Row],[Avanço fabricado (%)]]&lt;TabelaCurvaS[[#This Row],[Avanço planejado (%)]],TabelaCurvaS[[#This Row],[Avanço fabricado (%)]],NA())</f>
        <v>0.38094519449271508</v>
      </c>
    </row>
    <row r="88" spans="1:14">
      <c r="A88" s="6">
        <v>53</v>
      </c>
      <c r="B88" s="15">
        <f t="shared" si="5"/>
        <v>46317</v>
      </c>
      <c r="C88" s="22">
        <v>828.62000000000205</v>
      </c>
      <c r="D88" s="8">
        <f>SUM($C$36:C88)</f>
        <v>56746.560000000012</v>
      </c>
      <c r="E88" s="17">
        <f t="shared" si="6"/>
        <v>0.75854244085015421</v>
      </c>
      <c r="F88" s="9"/>
      <c r="G88" s="8">
        <f>SUM($F$36:F88)</f>
        <v>28498.510000000002</v>
      </c>
      <c r="H88" s="17">
        <f t="shared" si="7"/>
        <v>0.38094519449271508</v>
      </c>
      <c r="I88" s="8">
        <f t="shared" si="8"/>
        <v>-28248.05000000001</v>
      </c>
      <c r="J88" s="10">
        <f t="shared" si="9"/>
        <v>-0.37759724635743913</v>
      </c>
      <c r="K88" s="14" t="str">
        <f t="shared" si="10"/>
        <v>Atrasado</v>
      </c>
      <c r="L88" s="16"/>
      <c r="M88" s="17" t="e">
        <f>IF(TabelaCurvaS[[#This Row],[Avanço fabricado (%)]]&gt;=TabelaCurvaS[[#This Row],[Avanço planejado (%)]],TabelaCurvaS[[#This Row],[Avanço fabricado (%)]],NA())</f>
        <v>#N/A</v>
      </c>
      <c r="N88" s="17">
        <f>IF(TabelaCurvaS[[#This Row],[Avanço fabricado (%)]]&lt;TabelaCurvaS[[#This Row],[Avanço planejado (%)]],TabelaCurvaS[[#This Row],[Avanço fabricado (%)]],NA())</f>
        <v>0.38094519449271508</v>
      </c>
    </row>
    <row r="89" spans="1:14">
      <c r="A89" s="6">
        <v>54</v>
      </c>
      <c r="B89" s="15">
        <f t="shared" si="5"/>
        <v>46318</v>
      </c>
      <c r="C89" s="22">
        <v>814.29000000000201</v>
      </c>
      <c r="D89" s="8">
        <f>SUM($C$36:C89)</f>
        <v>57560.850000000013</v>
      </c>
      <c r="E89" s="17">
        <f t="shared" si="6"/>
        <v>0.76942721561288641</v>
      </c>
      <c r="F89" s="9"/>
      <c r="G89" s="8">
        <f>SUM($F$36:F89)</f>
        <v>28498.510000000002</v>
      </c>
      <c r="H89" s="17">
        <f t="shared" si="7"/>
        <v>0.38094519449271508</v>
      </c>
      <c r="I89" s="8">
        <f t="shared" si="8"/>
        <v>-29062.340000000011</v>
      </c>
      <c r="J89" s="10">
        <f t="shared" si="9"/>
        <v>-0.38848202112017133</v>
      </c>
      <c r="K89" s="14" t="str">
        <f t="shared" si="10"/>
        <v>Atrasado</v>
      </c>
      <c r="L89" s="16"/>
      <c r="M89" s="17" t="e">
        <f>IF(TabelaCurvaS[[#This Row],[Avanço fabricado (%)]]&gt;=TabelaCurvaS[[#This Row],[Avanço planejado (%)]],TabelaCurvaS[[#This Row],[Avanço fabricado (%)]],NA())</f>
        <v>#N/A</v>
      </c>
      <c r="N89" s="17">
        <f>IF(TabelaCurvaS[[#This Row],[Avanço fabricado (%)]]&lt;TabelaCurvaS[[#This Row],[Avanço planejado (%)]],TabelaCurvaS[[#This Row],[Avanço fabricado (%)]],NA())</f>
        <v>0.38094519449271508</v>
      </c>
    </row>
    <row r="90" spans="1:14">
      <c r="A90" s="6">
        <v>55</v>
      </c>
      <c r="B90" s="15">
        <f t="shared" si="5"/>
        <v>46319</v>
      </c>
      <c r="C90" s="22">
        <v>799.96000000000197</v>
      </c>
      <c r="D90" s="8">
        <f>SUM($C$36:C90)</f>
        <v>58360.810000000012</v>
      </c>
      <c r="E90" s="17">
        <f t="shared" si="6"/>
        <v>0.78012043844405876</v>
      </c>
      <c r="F90" s="9"/>
      <c r="G90" s="8">
        <f>SUM($F$36:F90)</f>
        <v>28498.510000000002</v>
      </c>
      <c r="H90" s="17">
        <f t="shared" si="7"/>
        <v>0.38094519449271508</v>
      </c>
      <c r="I90" s="8">
        <f t="shared" si="8"/>
        <v>-29862.30000000001</v>
      </c>
      <c r="J90" s="10">
        <f t="shared" si="9"/>
        <v>-0.39917524395134368</v>
      </c>
      <c r="K90" s="14" t="str">
        <f t="shared" si="10"/>
        <v>Atrasado</v>
      </c>
      <c r="L90" s="16"/>
      <c r="M90" s="17" t="e">
        <f>IF(TabelaCurvaS[[#This Row],[Avanço fabricado (%)]]&gt;=TabelaCurvaS[[#This Row],[Avanço planejado (%)]],TabelaCurvaS[[#This Row],[Avanço fabricado (%)]],NA())</f>
        <v>#N/A</v>
      </c>
      <c r="N90" s="17">
        <f>IF(TabelaCurvaS[[#This Row],[Avanço fabricado (%)]]&lt;TabelaCurvaS[[#This Row],[Avanço planejado (%)]],TabelaCurvaS[[#This Row],[Avanço fabricado (%)]],NA())</f>
        <v>0.38094519449271508</v>
      </c>
    </row>
    <row r="91" spans="1:14">
      <c r="A91" s="6">
        <v>56</v>
      </c>
      <c r="B91" s="15">
        <f t="shared" si="5"/>
        <v>46320</v>
      </c>
      <c r="C91" s="22">
        <v>785.63000000000204</v>
      </c>
      <c r="D91" s="8">
        <f>SUM($C$36:C91)</f>
        <v>59146.440000000017</v>
      </c>
      <c r="E91" s="17">
        <f t="shared" si="6"/>
        <v>0.79062210934367116</v>
      </c>
      <c r="F91" s="9"/>
      <c r="G91" s="8">
        <f>SUM($F$36:F91)</f>
        <v>28498.510000000002</v>
      </c>
      <c r="H91" s="17">
        <f t="shared" si="7"/>
        <v>0.38094519449271508</v>
      </c>
      <c r="I91" s="8">
        <f t="shared" si="8"/>
        <v>-30647.930000000015</v>
      </c>
      <c r="J91" s="10">
        <f t="shared" si="9"/>
        <v>-0.40967691485095609</v>
      </c>
      <c r="K91" s="14" t="str">
        <f t="shared" si="10"/>
        <v>Atrasado</v>
      </c>
      <c r="L91" s="16"/>
      <c r="M91" s="17" t="e">
        <f>IF(TabelaCurvaS[[#This Row],[Avanço fabricado (%)]]&gt;=TabelaCurvaS[[#This Row],[Avanço planejado (%)]],TabelaCurvaS[[#This Row],[Avanço fabricado (%)]],NA())</f>
        <v>#N/A</v>
      </c>
      <c r="N91" s="17">
        <f>IF(TabelaCurvaS[[#This Row],[Avanço fabricado (%)]]&lt;TabelaCurvaS[[#This Row],[Avanço planejado (%)]],TabelaCurvaS[[#This Row],[Avanço fabricado (%)]],NA())</f>
        <v>0.38094519449271508</v>
      </c>
    </row>
    <row r="92" spans="1:14">
      <c r="A92" s="6">
        <v>57</v>
      </c>
      <c r="B92" s="15">
        <f t="shared" si="5"/>
        <v>46321</v>
      </c>
      <c r="C92" s="22">
        <v>1237</v>
      </c>
      <c r="D92" s="8">
        <f>SUM($C$36:C92)</f>
        <v>60383.440000000017</v>
      </c>
      <c r="E92" s="17">
        <f t="shared" si="6"/>
        <v>0.8071573319074995</v>
      </c>
      <c r="F92" s="9"/>
      <c r="G92" s="8">
        <f>SUM($F$36:F92)</f>
        <v>28498.510000000002</v>
      </c>
      <c r="H92" s="17">
        <f t="shared" si="7"/>
        <v>0.38094519449271508</v>
      </c>
      <c r="I92" s="8">
        <f t="shared" si="8"/>
        <v>-31884.930000000015</v>
      </c>
      <c r="J92" s="10">
        <f t="shared" si="9"/>
        <v>-0.42621213741478442</v>
      </c>
      <c r="K92" s="14" t="str">
        <f t="shared" si="10"/>
        <v>Atrasado</v>
      </c>
      <c r="L92" s="16"/>
      <c r="M92" s="17" t="e">
        <f>IF(TabelaCurvaS[[#This Row],[Avanço fabricado (%)]]&gt;=TabelaCurvaS[[#This Row],[Avanço planejado (%)]],TabelaCurvaS[[#This Row],[Avanço fabricado (%)]],NA())</f>
        <v>#N/A</v>
      </c>
      <c r="N92" s="17">
        <f>IF(TabelaCurvaS[[#This Row],[Avanço fabricado (%)]]&lt;TabelaCurvaS[[#This Row],[Avanço planejado (%)]],TabelaCurvaS[[#This Row],[Avanço fabricado (%)]],NA())</f>
        <v>0.38094519449271508</v>
      </c>
    </row>
    <row r="93" spans="1:14">
      <c r="A93" s="6">
        <v>58</v>
      </c>
      <c r="B93" s="15">
        <f t="shared" si="5"/>
        <v>46322</v>
      </c>
      <c r="C93" s="22">
        <v>756.97000000000196</v>
      </c>
      <c r="D93" s="8">
        <f>SUM($C$36:C93)</f>
        <v>61140.410000000018</v>
      </c>
      <c r="E93" s="17">
        <f t="shared" si="6"/>
        <v>0.817275898943992</v>
      </c>
      <c r="F93" s="9"/>
      <c r="G93" s="8">
        <f>SUM($F$36:F93)</f>
        <v>28498.510000000002</v>
      </c>
      <c r="H93" s="17">
        <f t="shared" si="7"/>
        <v>0.38094519449271508</v>
      </c>
      <c r="I93" s="8">
        <f t="shared" si="8"/>
        <v>-32641.900000000016</v>
      </c>
      <c r="J93" s="10">
        <f t="shared" si="9"/>
        <v>-0.43633070445127692</v>
      </c>
      <c r="K93" s="14" t="str">
        <f t="shared" si="10"/>
        <v>Atrasado</v>
      </c>
      <c r="L93" s="16"/>
      <c r="M93" s="17" t="e">
        <f>IF(TabelaCurvaS[[#This Row],[Avanço fabricado (%)]]&gt;=TabelaCurvaS[[#This Row],[Avanço planejado (%)]],TabelaCurvaS[[#This Row],[Avanço fabricado (%)]],NA())</f>
        <v>#N/A</v>
      </c>
      <c r="N93" s="17">
        <f>IF(TabelaCurvaS[[#This Row],[Avanço fabricado (%)]]&lt;TabelaCurvaS[[#This Row],[Avanço planejado (%)]],TabelaCurvaS[[#This Row],[Avanço fabricado (%)]],NA())</f>
        <v>0.38094519449271508</v>
      </c>
    </row>
    <row r="94" spans="1:14">
      <c r="A94" s="6">
        <v>59</v>
      </c>
      <c r="B94" s="15">
        <f t="shared" si="5"/>
        <v>46323</v>
      </c>
      <c r="C94" s="22">
        <v>742.64000000000203</v>
      </c>
      <c r="D94" s="8">
        <f>SUM($C$36:C94)</f>
        <v>61883.050000000017</v>
      </c>
      <c r="E94" s="17">
        <f t="shared" si="6"/>
        <v>0.82720291404892454</v>
      </c>
      <c r="F94" s="9"/>
      <c r="G94" s="8">
        <f>SUM($F$36:F94)</f>
        <v>28498.510000000002</v>
      </c>
      <c r="H94" s="17">
        <f t="shared" si="7"/>
        <v>0.38094519449271508</v>
      </c>
      <c r="I94" s="8">
        <f t="shared" si="8"/>
        <v>-33384.540000000015</v>
      </c>
      <c r="J94" s="10">
        <f t="shared" si="9"/>
        <v>-0.44625771955620946</v>
      </c>
      <c r="K94" s="14" t="str">
        <f t="shared" si="10"/>
        <v>Atrasado</v>
      </c>
      <c r="L94" s="16"/>
      <c r="M94" s="17" t="e">
        <f>IF(TabelaCurvaS[[#This Row],[Avanço fabricado (%)]]&gt;=TabelaCurvaS[[#This Row],[Avanço planejado (%)]],TabelaCurvaS[[#This Row],[Avanço fabricado (%)]],NA())</f>
        <v>#N/A</v>
      </c>
      <c r="N94" s="17">
        <f>IF(TabelaCurvaS[[#This Row],[Avanço fabricado (%)]]&lt;TabelaCurvaS[[#This Row],[Avanço planejado (%)]],TabelaCurvaS[[#This Row],[Avanço fabricado (%)]],NA())</f>
        <v>0.38094519449271508</v>
      </c>
    </row>
    <row r="95" spans="1:14" ht="10.15" customHeight="1">
      <c r="A95" s="6">
        <v>60</v>
      </c>
      <c r="B95" s="15">
        <f t="shared" si="5"/>
        <v>46324</v>
      </c>
      <c r="C95" s="22">
        <v>1228</v>
      </c>
      <c r="D95" s="8">
        <f>SUM($C$36:C95)</f>
        <v>63111.050000000017</v>
      </c>
      <c r="E95" s="17">
        <f t="shared" si="6"/>
        <v>0.84361783184066352</v>
      </c>
      <c r="F95" s="9"/>
      <c r="G95" s="8">
        <f>SUM($F$36:F95)</f>
        <v>28498.510000000002</v>
      </c>
      <c r="H95" s="17">
        <f t="shared" ref="H95:H115" si="11">G95/$D$28</f>
        <v>0.38094519449271508</v>
      </c>
      <c r="I95" s="8">
        <f t="shared" ref="I95:I115" si="12">G95-D95</f>
        <v>-34612.540000000015</v>
      </c>
      <c r="J95" s="10">
        <f t="shared" ref="J95:J115" si="13">H95-E95</f>
        <v>-0.46267263734794845</v>
      </c>
      <c r="K95" s="14" t="str">
        <f t="shared" ref="K95:K115" si="14">IF(H95&gt;=E95,"No prazo","Atrasado")</f>
        <v>Atrasado</v>
      </c>
      <c r="M95" s="17" t="e">
        <f>IF(TabelaCurvaS[[#This Row],[Avanço fabricado (%)]]&gt;=TabelaCurvaS[[#This Row],[Avanço planejado (%)]],TabelaCurvaS[[#This Row],[Avanço fabricado (%)]],NA())</f>
        <v>#N/A</v>
      </c>
      <c r="N95" s="17">
        <f>IF(TabelaCurvaS[[#This Row],[Avanço fabricado (%)]]&lt;TabelaCurvaS[[#This Row],[Avanço planejado (%)]],TabelaCurvaS[[#This Row],[Avanço fabricado (%)]],NA())</f>
        <v>0.38094519449271508</v>
      </c>
    </row>
    <row r="96" spans="1:14">
      <c r="A96" s="6">
        <v>61</v>
      </c>
      <c r="B96" s="15">
        <f t="shared" si="5"/>
        <v>46325</v>
      </c>
      <c r="C96" s="22">
        <v>713.98000000000297</v>
      </c>
      <c r="D96" s="8">
        <f>SUM($C$36:C96)</f>
        <v>63825.030000000021</v>
      </c>
      <c r="E96" s="17">
        <f t="shared" si="6"/>
        <v>0.85316174308247616</v>
      </c>
      <c r="F96" s="9"/>
      <c r="G96" s="8">
        <f>SUM($F$36:F96)</f>
        <v>28498.510000000002</v>
      </c>
      <c r="H96" s="17">
        <f t="shared" si="11"/>
        <v>0.38094519449271508</v>
      </c>
      <c r="I96" s="8">
        <f t="shared" si="12"/>
        <v>-35326.520000000019</v>
      </c>
      <c r="J96" s="10">
        <f t="shared" si="13"/>
        <v>-0.47221654858976109</v>
      </c>
      <c r="K96" s="14" t="str">
        <f t="shared" si="14"/>
        <v>Atrasado</v>
      </c>
      <c r="M96" s="17" t="e">
        <f>IF(TabelaCurvaS[[#This Row],[Avanço fabricado (%)]]&gt;=TabelaCurvaS[[#This Row],[Avanço planejado (%)]],TabelaCurvaS[[#This Row],[Avanço fabricado (%)]],NA())</f>
        <v>#N/A</v>
      </c>
      <c r="N96" s="17">
        <f>IF(TabelaCurvaS[[#This Row],[Avanço fabricado (%)]]&lt;TabelaCurvaS[[#This Row],[Avanço planejado (%)]],TabelaCurvaS[[#This Row],[Avanço fabricado (%)]],NA())</f>
        <v>0.38094519449271508</v>
      </c>
    </row>
    <row r="97" spans="1:14">
      <c r="A97" s="6">
        <v>62</v>
      </c>
      <c r="B97" s="15">
        <f t="shared" si="5"/>
        <v>46326</v>
      </c>
      <c r="C97" s="22">
        <v>1231</v>
      </c>
      <c r="D97" s="8">
        <f>SUM($C$36:C97)</f>
        <v>65056.030000000021</v>
      </c>
      <c r="E97" s="17">
        <f t="shared" si="6"/>
        <v>0.86961676246491171</v>
      </c>
      <c r="F97" s="9"/>
      <c r="G97" s="8">
        <f>SUM($F$36:F97)</f>
        <v>28498.510000000002</v>
      </c>
      <c r="H97" s="17">
        <f t="shared" si="11"/>
        <v>0.38094519449271508</v>
      </c>
      <c r="I97" s="8">
        <f t="shared" si="12"/>
        <v>-36557.520000000019</v>
      </c>
      <c r="J97" s="10">
        <f t="shared" si="13"/>
        <v>-0.48867156797219663</v>
      </c>
      <c r="K97" s="14" t="str">
        <f t="shared" si="14"/>
        <v>Atrasado</v>
      </c>
      <c r="M97" s="17" t="e">
        <f>IF(TabelaCurvaS[[#This Row],[Avanço fabricado (%)]]&gt;=TabelaCurvaS[[#This Row],[Avanço planejado (%)]],TabelaCurvaS[[#This Row],[Avanço fabricado (%)]],NA())</f>
        <v>#N/A</v>
      </c>
      <c r="N97" s="17">
        <f>IF(TabelaCurvaS[[#This Row],[Avanço fabricado (%)]]&lt;TabelaCurvaS[[#This Row],[Avanço planejado (%)]],TabelaCurvaS[[#This Row],[Avanço fabricado (%)]],NA())</f>
        <v>0.38094519449271508</v>
      </c>
    </row>
    <row r="98" spans="1:14">
      <c r="A98" s="6">
        <v>63</v>
      </c>
      <c r="B98" s="15">
        <f t="shared" si="5"/>
        <v>46327</v>
      </c>
      <c r="C98" s="22">
        <v>685.32000000000301</v>
      </c>
      <c r="D98" s="8">
        <f>SUM($C$36:C98)</f>
        <v>65741.35000000002</v>
      </c>
      <c r="E98" s="17">
        <f t="shared" si="6"/>
        <v>0.87877756984360444</v>
      </c>
      <c r="F98" s="9"/>
      <c r="G98" s="8">
        <f>SUM($F$36:F98)</f>
        <v>28498.510000000002</v>
      </c>
      <c r="H98" s="17">
        <f t="shared" si="11"/>
        <v>0.38094519449271508</v>
      </c>
      <c r="I98" s="8">
        <f t="shared" si="12"/>
        <v>-37242.840000000018</v>
      </c>
      <c r="J98" s="10">
        <f t="shared" si="13"/>
        <v>-0.49783237535088937</v>
      </c>
      <c r="K98" s="14" t="str">
        <f t="shared" si="14"/>
        <v>Atrasado</v>
      </c>
      <c r="M98" s="17" t="e">
        <f>IF(TabelaCurvaS[[#This Row],[Avanço fabricado (%)]]&gt;=TabelaCurvaS[[#This Row],[Avanço planejado (%)]],TabelaCurvaS[[#This Row],[Avanço fabricado (%)]],NA())</f>
        <v>#N/A</v>
      </c>
      <c r="N98" s="17">
        <f>IF(TabelaCurvaS[[#This Row],[Avanço fabricado (%)]]&lt;TabelaCurvaS[[#This Row],[Avanço planejado (%)]],TabelaCurvaS[[#This Row],[Avanço fabricado (%)]],NA())</f>
        <v>0.38094519449271508</v>
      </c>
    </row>
    <row r="99" spans="1:14">
      <c r="A99" s="6">
        <v>64</v>
      </c>
      <c r="B99" s="15">
        <f t="shared" si="5"/>
        <v>46328</v>
      </c>
      <c r="C99" s="22">
        <v>670.99000000000296</v>
      </c>
      <c r="D99" s="8">
        <f>SUM($C$36:C99)</f>
        <v>66412.340000000026</v>
      </c>
      <c r="E99" s="17">
        <f t="shared" si="6"/>
        <v>0.88774682529073723</v>
      </c>
      <c r="F99" s="9"/>
      <c r="G99" s="8">
        <f>SUM($F$36:F99)</f>
        <v>28498.510000000002</v>
      </c>
      <c r="H99" s="17">
        <f t="shared" si="11"/>
        <v>0.38094519449271508</v>
      </c>
      <c r="I99" s="8">
        <f t="shared" si="12"/>
        <v>-37913.830000000024</v>
      </c>
      <c r="J99" s="10">
        <f t="shared" si="13"/>
        <v>-0.5068016307980221</v>
      </c>
      <c r="K99" s="14" t="str">
        <f t="shared" si="14"/>
        <v>Atrasado</v>
      </c>
      <c r="M99" s="17" t="e">
        <f>IF(TabelaCurvaS[[#This Row],[Avanço fabricado (%)]]&gt;=TabelaCurvaS[[#This Row],[Avanço planejado (%)]],TabelaCurvaS[[#This Row],[Avanço fabricado (%)]],NA())</f>
        <v>#N/A</v>
      </c>
      <c r="N99" s="17">
        <f>IF(TabelaCurvaS[[#This Row],[Avanço fabricado (%)]]&lt;TabelaCurvaS[[#This Row],[Avanço planejado (%)]],TabelaCurvaS[[#This Row],[Avanço fabricado (%)]],NA())</f>
        <v>0.38094519449271508</v>
      </c>
    </row>
    <row r="100" spans="1:14">
      <c r="A100" s="6">
        <v>65</v>
      </c>
      <c r="B100" s="15">
        <f t="shared" si="5"/>
        <v>46329</v>
      </c>
      <c r="C100" s="22">
        <v>656.66000000000304</v>
      </c>
      <c r="D100" s="8">
        <f>SUM($C$36:C100)</f>
        <v>67069.000000000029</v>
      </c>
      <c r="E100" s="17">
        <f t="shared" si="6"/>
        <v>0.89652452880631006</v>
      </c>
      <c r="F100" s="9"/>
      <c r="G100" s="8">
        <f>SUM($F$36:F100)</f>
        <v>28498.510000000002</v>
      </c>
      <c r="H100" s="17">
        <f t="shared" si="11"/>
        <v>0.38094519449271508</v>
      </c>
      <c r="I100" s="8">
        <f t="shared" si="12"/>
        <v>-38570.490000000027</v>
      </c>
      <c r="J100" s="10">
        <f t="shared" si="13"/>
        <v>-0.51557933431359504</v>
      </c>
      <c r="K100" s="14" t="str">
        <f t="shared" si="14"/>
        <v>Atrasado</v>
      </c>
      <c r="M100" s="17" t="e">
        <f>IF(TabelaCurvaS[[#This Row],[Avanço fabricado (%)]]&gt;=TabelaCurvaS[[#This Row],[Avanço planejado (%)]],TabelaCurvaS[[#This Row],[Avanço fabricado (%)]],NA())</f>
        <v>#N/A</v>
      </c>
      <c r="N100" s="17">
        <f>IF(TabelaCurvaS[[#This Row],[Avanço fabricado (%)]]&lt;TabelaCurvaS[[#This Row],[Avanço planejado (%)]],TabelaCurvaS[[#This Row],[Avanço fabricado (%)]],NA())</f>
        <v>0.38094519449271508</v>
      </c>
    </row>
    <row r="101" spans="1:14">
      <c r="A101" s="6">
        <v>66</v>
      </c>
      <c r="B101" s="15">
        <f t="shared" si="5"/>
        <v>46330</v>
      </c>
      <c r="C101" s="22">
        <v>642.330000000003</v>
      </c>
      <c r="D101" s="8">
        <f>SUM($C$36:C101)</f>
        <v>67711.330000000031</v>
      </c>
      <c r="E101" s="17">
        <f t="shared" si="6"/>
        <v>0.90511068039032294</v>
      </c>
      <c r="F101" s="9"/>
      <c r="G101" s="8">
        <f>SUM($F$36:F101)</f>
        <v>28498.510000000002</v>
      </c>
      <c r="H101" s="17">
        <f t="shared" si="11"/>
        <v>0.38094519449271508</v>
      </c>
      <c r="I101" s="8">
        <f t="shared" si="12"/>
        <v>-39212.820000000029</v>
      </c>
      <c r="J101" s="10">
        <f t="shared" si="13"/>
        <v>-0.52416548589760792</v>
      </c>
      <c r="K101" s="14" t="str">
        <f t="shared" si="14"/>
        <v>Atrasado</v>
      </c>
      <c r="M101" s="17" t="e">
        <f>IF(TabelaCurvaS[[#This Row],[Avanço fabricado (%)]]&gt;=TabelaCurvaS[[#This Row],[Avanço planejado (%)]],TabelaCurvaS[[#This Row],[Avanço fabricado (%)]],NA())</f>
        <v>#N/A</v>
      </c>
      <c r="N101" s="17">
        <f>IF(TabelaCurvaS[[#This Row],[Avanço fabricado (%)]]&lt;TabelaCurvaS[[#This Row],[Avanço planejado (%)]],TabelaCurvaS[[#This Row],[Avanço fabricado (%)]],NA())</f>
        <v>0.38094519449271508</v>
      </c>
    </row>
    <row r="102" spans="1:14">
      <c r="A102" s="6">
        <v>67</v>
      </c>
      <c r="B102" s="15">
        <f t="shared" ref="B102:B115" si="15">B101+1</f>
        <v>46331</v>
      </c>
      <c r="C102" s="22">
        <v>628.00000000000296</v>
      </c>
      <c r="D102" s="8">
        <f>SUM($C$36:C102)</f>
        <v>68339.330000000031</v>
      </c>
      <c r="E102" s="17">
        <f t="shared" si="6"/>
        <v>0.91350528004277576</v>
      </c>
      <c r="F102" s="9"/>
      <c r="G102" s="8">
        <f>SUM($F$36:F102)</f>
        <v>28498.510000000002</v>
      </c>
      <c r="H102" s="17">
        <f t="shared" si="11"/>
        <v>0.38094519449271508</v>
      </c>
      <c r="I102" s="8">
        <f t="shared" si="12"/>
        <v>-39840.820000000029</v>
      </c>
      <c r="J102" s="10">
        <f t="shared" si="13"/>
        <v>-0.53256008555006074</v>
      </c>
      <c r="K102" s="14" t="str">
        <f t="shared" si="14"/>
        <v>Atrasado</v>
      </c>
      <c r="M102" s="17" t="e">
        <f>IF(TabelaCurvaS[[#This Row],[Avanço fabricado (%)]]&gt;=TabelaCurvaS[[#This Row],[Avanço planejado (%)]],TabelaCurvaS[[#This Row],[Avanço fabricado (%)]],NA())</f>
        <v>#N/A</v>
      </c>
      <c r="N102" s="17">
        <f>IF(TabelaCurvaS[[#This Row],[Avanço fabricado (%)]]&lt;TabelaCurvaS[[#This Row],[Avanço planejado (%)]],TabelaCurvaS[[#This Row],[Avanço fabricado (%)]],NA())</f>
        <v>0.38094519449271508</v>
      </c>
    </row>
    <row r="103" spans="1:14">
      <c r="A103" s="6">
        <v>68</v>
      </c>
      <c r="B103" s="15">
        <f t="shared" si="15"/>
        <v>46332</v>
      </c>
      <c r="C103" s="22">
        <v>613.67000000000303</v>
      </c>
      <c r="D103" s="8">
        <f>SUM($C$36:C103)</f>
        <v>68953.000000000029</v>
      </c>
      <c r="E103" s="17">
        <f t="shared" si="6"/>
        <v>0.92170832776366873</v>
      </c>
      <c r="F103" s="9"/>
      <c r="G103" s="8">
        <f>SUM($F$36:F103)</f>
        <v>28498.510000000002</v>
      </c>
      <c r="H103" s="17">
        <f t="shared" si="11"/>
        <v>0.38094519449271508</v>
      </c>
      <c r="I103" s="8">
        <f t="shared" si="12"/>
        <v>-40454.490000000027</v>
      </c>
      <c r="J103" s="10">
        <f t="shared" si="13"/>
        <v>-0.54076313327095371</v>
      </c>
      <c r="K103" s="14" t="str">
        <f t="shared" si="14"/>
        <v>Atrasado</v>
      </c>
      <c r="M103" s="17" t="e">
        <f>IF(TabelaCurvaS[[#This Row],[Avanço fabricado (%)]]&gt;=TabelaCurvaS[[#This Row],[Avanço planejado (%)]],TabelaCurvaS[[#This Row],[Avanço fabricado (%)]],NA())</f>
        <v>#N/A</v>
      </c>
      <c r="N103" s="17">
        <f>IF(TabelaCurvaS[[#This Row],[Avanço fabricado (%)]]&lt;TabelaCurvaS[[#This Row],[Avanço planejado (%)]],TabelaCurvaS[[#This Row],[Avanço fabricado (%)]],NA())</f>
        <v>0.38094519449271508</v>
      </c>
    </row>
    <row r="104" spans="1:14">
      <c r="A104" s="6">
        <v>69</v>
      </c>
      <c r="B104" s="15">
        <f t="shared" si="15"/>
        <v>46333</v>
      </c>
      <c r="C104" s="22">
        <v>607.5</v>
      </c>
      <c r="D104" s="8">
        <f>SUM($C$36:C104)</f>
        <v>69560.500000000029</v>
      </c>
      <c r="E104" s="17">
        <f t="shared" si="6"/>
        <v>0.92982889987969597</v>
      </c>
      <c r="F104" s="9"/>
      <c r="G104" s="8">
        <f>SUM($F$36:F104)</f>
        <v>28498.510000000002</v>
      </c>
      <c r="H104" s="17">
        <f t="shared" si="11"/>
        <v>0.38094519449271508</v>
      </c>
      <c r="I104" s="8">
        <f t="shared" si="12"/>
        <v>-41061.990000000027</v>
      </c>
      <c r="J104" s="10">
        <f t="shared" si="13"/>
        <v>-0.54888370538698084</v>
      </c>
      <c r="K104" s="14" t="str">
        <f t="shared" si="14"/>
        <v>Atrasado</v>
      </c>
      <c r="M104" s="17" t="e">
        <f>IF(TabelaCurvaS[[#This Row],[Avanço fabricado (%)]]&gt;=TabelaCurvaS[[#This Row],[Avanço planejado (%)]],TabelaCurvaS[[#This Row],[Avanço fabricado (%)]],NA())</f>
        <v>#N/A</v>
      </c>
      <c r="N104" s="17">
        <f>IF(TabelaCurvaS[[#This Row],[Avanço fabricado (%)]]&lt;TabelaCurvaS[[#This Row],[Avanço planejado (%)]],TabelaCurvaS[[#This Row],[Avanço fabricado (%)]],NA())</f>
        <v>0.38094519449271508</v>
      </c>
    </row>
    <row r="105" spans="1:14">
      <c r="A105" s="6">
        <v>70</v>
      </c>
      <c r="B105" s="15">
        <f t="shared" si="15"/>
        <v>46334</v>
      </c>
      <c r="C105" s="22">
        <v>590</v>
      </c>
      <c r="D105" s="8">
        <f>SUM($C$36:C105)</f>
        <v>70150.500000000029</v>
      </c>
      <c r="E105" s="17">
        <f t="shared" si="6"/>
        <v>0.93771554604999408</v>
      </c>
      <c r="F105" s="9"/>
      <c r="G105" s="8">
        <f>SUM($F$36:F105)</f>
        <v>28498.510000000002</v>
      </c>
      <c r="H105" s="17">
        <f t="shared" si="11"/>
        <v>0.38094519449271508</v>
      </c>
      <c r="I105" s="8">
        <f t="shared" si="12"/>
        <v>-41651.990000000027</v>
      </c>
      <c r="J105" s="10">
        <f t="shared" si="13"/>
        <v>-0.55677035155727905</v>
      </c>
      <c r="K105" s="14" t="str">
        <f t="shared" si="14"/>
        <v>Atrasado</v>
      </c>
      <c r="M105" s="17" t="e">
        <f>IF(TabelaCurvaS[[#This Row],[Avanço fabricado (%)]]&gt;=TabelaCurvaS[[#This Row],[Avanço planejado (%)]],TabelaCurvaS[[#This Row],[Avanço fabricado (%)]],NA())</f>
        <v>#N/A</v>
      </c>
      <c r="N105" s="17">
        <f>IF(TabelaCurvaS[[#This Row],[Avanço fabricado (%)]]&lt;TabelaCurvaS[[#This Row],[Avanço planejado (%)]],TabelaCurvaS[[#This Row],[Avanço fabricado (%)]],NA())</f>
        <v>0.38094519449271508</v>
      </c>
    </row>
    <row r="106" spans="1:14">
      <c r="A106" s="6">
        <v>71</v>
      </c>
      <c r="B106" s="15">
        <f t="shared" si="15"/>
        <v>46335</v>
      </c>
      <c r="C106" s="22">
        <v>570.68000000000302</v>
      </c>
      <c r="D106" s="8">
        <f>SUM($C$36:C106)</f>
        <v>70721.180000000037</v>
      </c>
      <c r="E106" s="17">
        <f t="shared" si="6"/>
        <v>0.94534393797620719</v>
      </c>
      <c r="F106" s="9"/>
      <c r="G106" s="8">
        <f>SUM($F$36:F106)</f>
        <v>28498.510000000002</v>
      </c>
      <c r="H106" s="17">
        <f t="shared" si="11"/>
        <v>0.38094519449271508</v>
      </c>
      <c r="I106" s="8">
        <f t="shared" si="12"/>
        <v>-42222.670000000035</v>
      </c>
      <c r="J106" s="10">
        <f t="shared" si="13"/>
        <v>-0.56439874348349206</v>
      </c>
      <c r="K106" s="14" t="str">
        <f t="shared" si="14"/>
        <v>Atrasado</v>
      </c>
      <c r="M106" s="17" t="e">
        <f>IF(TabelaCurvaS[[#This Row],[Avanço fabricado (%)]]&gt;=TabelaCurvaS[[#This Row],[Avanço planejado (%)]],TabelaCurvaS[[#This Row],[Avanço fabricado (%)]],NA())</f>
        <v>#N/A</v>
      </c>
      <c r="N106" s="17">
        <f>IF(TabelaCurvaS[[#This Row],[Avanço fabricado (%)]]&lt;TabelaCurvaS[[#This Row],[Avanço planejado (%)]],TabelaCurvaS[[#This Row],[Avanço fabricado (%)]],NA())</f>
        <v>0.38094519449271508</v>
      </c>
    </row>
    <row r="107" spans="1:14">
      <c r="A107" s="6">
        <v>72</v>
      </c>
      <c r="B107" s="15">
        <f t="shared" si="15"/>
        <v>46336</v>
      </c>
      <c r="C107" s="22">
        <v>560</v>
      </c>
      <c r="D107" s="8">
        <f>SUM($C$36:C107)</f>
        <v>71281.180000000037</v>
      </c>
      <c r="E107" s="17">
        <f t="shared" si="6"/>
        <v>0.95282956823954101</v>
      </c>
      <c r="F107" s="9"/>
      <c r="G107" s="8">
        <f>SUM($F$36:F107)</f>
        <v>28498.510000000002</v>
      </c>
      <c r="H107" s="17">
        <f t="shared" si="11"/>
        <v>0.38094519449271508</v>
      </c>
      <c r="I107" s="8">
        <f t="shared" si="12"/>
        <v>-42782.670000000035</v>
      </c>
      <c r="J107" s="10">
        <f t="shared" si="13"/>
        <v>-0.57188437374682599</v>
      </c>
      <c r="K107" s="14" t="str">
        <f t="shared" si="14"/>
        <v>Atrasado</v>
      </c>
      <c r="M107" s="17" t="e">
        <f>IF(TabelaCurvaS[[#This Row],[Avanço fabricado (%)]]&gt;=TabelaCurvaS[[#This Row],[Avanço planejado (%)]],TabelaCurvaS[[#This Row],[Avanço fabricado (%)]],NA())</f>
        <v>#N/A</v>
      </c>
      <c r="N107" s="17">
        <f>IF(TabelaCurvaS[[#This Row],[Avanço fabricado (%)]]&lt;TabelaCurvaS[[#This Row],[Avanço planejado (%)]],TabelaCurvaS[[#This Row],[Avanço fabricado (%)]],NA())</f>
        <v>0.38094519449271508</v>
      </c>
    </row>
    <row r="108" spans="1:14">
      <c r="A108" s="6">
        <v>73</v>
      </c>
      <c r="B108" s="15">
        <f t="shared" si="15"/>
        <v>46337</v>
      </c>
      <c r="C108" s="22">
        <v>542.02000000000305</v>
      </c>
      <c r="D108" s="8">
        <f>SUM($C$36:C108)</f>
        <v>71823.200000000041</v>
      </c>
      <c r="E108" s="17">
        <f t="shared" si="6"/>
        <v>0.96007485630263423</v>
      </c>
      <c r="F108" s="9"/>
      <c r="G108" s="8">
        <f>SUM($F$36:F108)</f>
        <v>28498.510000000002</v>
      </c>
      <c r="H108" s="17">
        <f t="shared" si="11"/>
        <v>0.38094519449271508</v>
      </c>
      <c r="I108" s="8">
        <f t="shared" si="12"/>
        <v>-43324.690000000039</v>
      </c>
      <c r="J108" s="10">
        <f t="shared" si="13"/>
        <v>-0.57912966180991909</v>
      </c>
      <c r="K108" s="14" t="str">
        <f t="shared" si="14"/>
        <v>Atrasado</v>
      </c>
      <c r="M108" s="17" t="e">
        <f>IF(TabelaCurvaS[[#This Row],[Avanço fabricado (%)]]&gt;=TabelaCurvaS[[#This Row],[Avanço planejado (%)]],TabelaCurvaS[[#This Row],[Avanço fabricado (%)]],NA())</f>
        <v>#N/A</v>
      </c>
      <c r="N108" s="17">
        <f>IF(TabelaCurvaS[[#This Row],[Avanço fabricado (%)]]&lt;TabelaCurvaS[[#This Row],[Avanço planejado (%)]],TabelaCurvaS[[#This Row],[Avanço fabricado (%)]],NA())</f>
        <v>0.38094519449271508</v>
      </c>
    </row>
    <row r="109" spans="1:14">
      <c r="A109" s="6">
        <v>74</v>
      </c>
      <c r="B109" s="15">
        <f t="shared" si="15"/>
        <v>46338</v>
      </c>
      <c r="C109" s="22">
        <v>527.69000000000301</v>
      </c>
      <c r="D109" s="8">
        <f>SUM($C$36:C109)</f>
        <v>72350.890000000043</v>
      </c>
      <c r="E109" s="17">
        <f t="shared" si="6"/>
        <v>0.96712859243416749</v>
      </c>
      <c r="F109" s="9"/>
      <c r="G109" s="8">
        <f>SUM($F$36:F109)</f>
        <v>28498.510000000002</v>
      </c>
      <c r="H109" s="17">
        <f t="shared" si="11"/>
        <v>0.38094519449271508</v>
      </c>
      <c r="I109" s="8">
        <f t="shared" si="12"/>
        <v>-43852.380000000041</v>
      </c>
      <c r="J109" s="10">
        <f t="shared" si="13"/>
        <v>-0.58618339794145236</v>
      </c>
      <c r="K109" s="14" t="str">
        <f t="shared" si="14"/>
        <v>Atrasado</v>
      </c>
      <c r="M109" s="17" t="e">
        <f>IF(TabelaCurvaS[[#This Row],[Avanço fabricado (%)]]&gt;=TabelaCurvaS[[#This Row],[Avanço planejado (%)]],TabelaCurvaS[[#This Row],[Avanço fabricado (%)]],NA())</f>
        <v>#N/A</v>
      </c>
      <c r="N109" s="17">
        <f>IF(TabelaCurvaS[[#This Row],[Avanço fabricado (%)]]&lt;TabelaCurvaS[[#This Row],[Avanço planejado (%)]],TabelaCurvaS[[#This Row],[Avanço fabricado (%)]],NA())</f>
        <v>0.38094519449271508</v>
      </c>
    </row>
    <row r="110" spans="1:14">
      <c r="A110" s="6">
        <v>75</v>
      </c>
      <c r="B110" s="15">
        <f t="shared" si="15"/>
        <v>46339</v>
      </c>
      <c r="C110" s="22">
        <v>513.36000000000399</v>
      </c>
      <c r="D110" s="8">
        <f>SUM($C$36:C110)</f>
        <v>72864.250000000044</v>
      </c>
      <c r="E110" s="17">
        <f t="shared" si="6"/>
        <v>0.9739907766341408</v>
      </c>
      <c r="F110" s="9"/>
      <c r="G110" s="8">
        <f>SUM($F$36:F110)</f>
        <v>28498.510000000002</v>
      </c>
      <c r="H110" s="17">
        <f t="shared" si="11"/>
        <v>0.38094519449271508</v>
      </c>
      <c r="I110" s="8">
        <f t="shared" si="12"/>
        <v>-44365.740000000042</v>
      </c>
      <c r="J110" s="10">
        <f t="shared" si="13"/>
        <v>-0.59304558214142578</v>
      </c>
      <c r="K110" s="14" t="str">
        <f t="shared" si="14"/>
        <v>Atrasado</v>
      </c>
      <c r="M110" s="17" t="e">
        <f>IF(TabelaCurvaS[[#This Row],[Avanço fabricado (%)]]&gt;=TabelaCurvaS[[#This Row],[Avanço planejado (%)]],TabelaCurvaS[[#This Row],[Avanço fabricado (%)]],NA())</f>
        <v>#N/A</v>
      </c>
      <c r="N110" s="17">
        <f>IF(TabelaCurvaS[[#This Row],[Avanço fabricado (%)]]&lt;TabelaCurvaS[[#This Row],[Avanço planejado (%)]],TabelaCurvaS[[#This Row],[Avanço fabricado (%)]],NA())</f>
        <v>0.38094519449271508</v>
      </c>
    </row>
    <row r="111" spans="1:14">
      <c r="A111" s="6">
        <v>76</v>
      </c>
      <c r="B111" s="15">
        <f t="shared" si="15"/>
        <v>46340</v>
      </c>
      <c r="C111" s="22">
        <v>499.03000000000401</v>
      </c>
      <c r="D111" s="8">
        <f>SUM($C$36:C111)</f>
        <v>73363.280000000042</v>
      </c>
      <c r="E111" s="17">
        <f t="shared" si="6"/>
        <v>0.98066140890255404</v>
      </c>
      <c r="F111" s="9">
        <v>0</v>
      </c>
      <c r="G111" s="8">
        <f>SUM($F$36:F111)</f>
        <v>28498.510000000002</v>
      </c>
      <c r="H111" s="17">
        <f t="shared" si="11"/>
        <v>0.38094519449271508</v>
      </c>
      <c r="I111" s="8">
        <f t="shared" si="12"/>
        <v>-44864.77000000004</v>
      </c>
      <c r="J111" s="10">
        <f t="shared" si="13"/>
        <v>-0.59971621440983891</v>
      </c>
      <c r="K111" s="14" t="str">
        <f t="shared" si="14"/>
        <v>Atrasado</v>
      </c>
      <c r="M111" s="17" t="e">
        <f>IF(TabelaCurvaS[[#This Row],[Avanço fabricado (%)]]&gt;=TabelaCurvaS[[#This Row],[Avanço planejado (%)]],TabelaCurvaS[[#This Row],[Avanço fabricado (%)]],NA())</f>
        <v>#N/A</v>
      </c>
      <c r="N111" s="17">
        <f>IF(TabelaCurvaS[[#This Row],[Avanço fabricado (%)]]&lt;TabelaCurvaS[[#This Row],[Avanço planejado (%)]],TabelaCurvaS[[#This Row],[Avanço fabricado (%)]],NA())</f>
        <v>0.38094519449271508</v>
      </c>
    </row>
    <row r="112" spans="1:14">
      <c r="A112" s="6">
        <v>77</v>
      </c>
      <c r="B112" s="15">
        <f t="shared" si="15"/>
        <v>46341</v>
      </c>
      <c r="C112" s="22">
        <v>484.70000000000402</v>
      </c>
      <c r="D112" s="8">
        <f>SUM($C$36:C112)</f>
        <v>73847.98000000004</v>
      </c>
      <c r="E112" s="17">
        <f t="shared" si="6"/>
        <v>0.98714048923940745</v>
      </c>
      <c r="F112" s="9">
        <v>0</v>
      </c>
      <c r="G112" s="8">
        <f>SUM($F$36:F112)</f>
        <v>28498.510000000002</v>
      </c>
      <c r="H112" s="17">
        <f t="shared" si="11"/>
        <v>0.38094519449271508</v>
      </c>
      <c r="I112" s="8">
        <f t="shared" si="12"/>
        <v>-45349.470000000038</v>
      </c>
      <c r="J112" s="10">
        <f t="shared" si="13"/>
        <v>-0.60619529474669243</v>
      </c>
      <c r="K112" s="14" t="str">
        <f t="shared" si="14"/>
        <v>Atrasado</v>
      </c>
      <c r="M112" s="17" t="e">
        <f>IF(TabelaCurvaS[[#This Row],[Avanço fabricado (%)]]&gt;=TabelaCurvaS[[#This Row],[Avanço planejado (%)]],TabelaCurvaS[[#This Row],[Avanço fabricado (%)]],NA())</f>
        <v>#N/A</v>
      </c>
      <c r="N112" s="17">
        <f>IF(TabelaCurvaS[[#This Row],[Avanço fabricado (%)]]&lt;TabelaCurvaS[[#This Row],[Avanço planejado (%)]],TabelaCurvaS[[#This Row],[Avanço fabricado (%)]],NA())</f>
        <v>0.38094519449271508</v>
      </c>
    </row>
    <row r="113" spans="1:14">
      <c r="A113" s="6">
        <v>78</v>
      </c>
      <c r="B113" s="15">
        <f t="shared" si="15"/>
        <v>46342</v>
      </c>
      <c r="C113" s="22">
        <v>470.37000000000398</v>
      </c>
      <c r="D113" s="8">
        <f>SUM($C$36:C113)</f>
        <v>74318.350000000049</v>
      </c>
      <c r="E113" s="17">
        <f t="shared" si="6"/>
        <v>0.9934280176447009</v>
      </c>
      <c r="F113" s="9">
        <v>0</v>
      </c>
      <c r="G113" s="8">
        <f>SUM($F$36:F113)</f>
        <v>28498.510000000002</v>
      </c>
      <c r="H113" s="17">
        <f t="shared" si="11"/>
        <v>0.38094519449271508</v>
      </c>
      <c r="I113" s="8">
        <f t="shared" si="12"/>
        <v>-45819.840000000047</v>
      </c>
      <c r="J113" s="10">
        <f t="shared" si="13"/>
        <v>-0.61248282315198588</v>
      </c>
      <c r="K113" s="14" t="str">
        <f t="shared" si="14"/>
        <v>Atrasado</v>
      </c>
      <c r="M113" s="17" t="e">
        <f>IF(TabelaCurvaS[[#This Row],[Avanço fabricado (%)]]&gt;=TabelaCurvaS[[#This Row],[Avanço planejado (%)]],TabelaCurvaS[[#This Row],[Avanço fabricado (%)]],NA())</f>
        <v>#N/A</v>
      </c>
      <c r="N113" s="17">
        <f>IF(TabelaCurvaS[[#This Row],[Avanço fabricado (%)]]&lt;TabelaCurvaS[[#This Row],[Avanço planejado (%)]],TabelaCurvaS[[#This Row],[Avanço fabricado (%)]],NA())</f>
        <v>0.38094519449271508</v>
      </c>
    </row>
    <row r="114" spans="1:14">
      <c r="A114" s="6">
        <v>79</v>
      </c>
      <c r="B114" s="15">
        <f t="shared" si="15"/>
        <v>46343</v>
      </c>
      <c r="C114" s="22">
        <v>456.040000000004</v>
      </c>
      <c r="D114" s="8">
        <f>SUM($C$36:C114)</f>
        <v>74774.390000000058</v>
      </c>
      <c r="E114" s="17">
        <f t="shared" si="6"/>
        <v>0.99952399411843451</v>
      </c>
      <c r="F114" s="9">
        <v>0</v>
      </c>
      <c r="G114" s="8">
        <f>SUM($F$36:F114)</f>
        <v>28498.510000000002</v>
      </c>
      <c r="H114" s="17">
        <f t="shared" si="11"/>
        <v>0.38094519449271508</v>
      </c>
      <c r="I114" s="8">
        <f t="shared" si="12"/>
        <v>-46275.880000000056</v>
      </c>
      <c r="J114" s="10">
        <f t="shared" si="13"/>
        <v>-0.61857879962571949</v>
      </c>
      <c r="K114" s="14" t="str">
        <f t="shared" si="14"/>
        <v>Atrasado</v>
      </c>
      <c r="M114" s="17" t="e">
        <f>IF(TabelaCurvaS[[#This Row],[Avanço fabricado (%)]]&gt;=TabelaCurvaS[[#This Row],[Avanço planejado (%)]],TabelaCurvaS[[#This Row],[Avanço fabricado (%)]],NA())</f>
        <v>#N/A</v>
      </c>
      <c r="N114" s="17">
        <f>IF(TabelaCurvaS[[#This Row],[Avanço fabricado (%)]]&lt;TabelaCurvaS[[#This Row],[Avanço planejado (%)]],TabelaCurvaS[[#This Row],[Avanço fabricado (%)]],NA())</f>
        <v>0.38094519449271508</v>
      </c>
    </row>
    <row r="115" spans="1:14">
      <c r="A115" s="6">
        <v>80</v>
      </c>
      <c r="B115" s="15">
        <f t="shared" si="15"/>
        <v>46344</v>
      </c>
      <c r="C115" s="22">
        <v>35.61</v>
      </c>
      <c r="D115" s="8">
        <f>SUM($C$36:C115)</f>
        <v>74810.000000000058</v>
      </c>
      <c r="E115" s="17">
        <f t="shared" si="6"/>
        <v>1.0000000000000011</v>
      </c>
      <c r="F115" s="9">
        <v>0</v>
      </c>
      <c r="G115" s="8">
        <f>SUM($F$36:F115)</f>
        <v>28498.510000000002</v>
      </c>
      <c r="H115" s="17">
        <f t="shared" si="11"/>
        <v>0.38094519449271508</v>
      </c>
      <c r="I115" s="8">
        <f t="shared" si="12"/>
        <v>-46311.490000000056</v>
      </c>
      <c r="J115" s="10">
        <f t="shared" si="13"/>
        <v>-0.61905480550728598</v>
      </c>
      <c r="K115" s="14" t="str">
        <f t="shared" si="14"/>
        <v>Atrasado</v>
      </c>
      <c r="M115" s="17" t="e">
        <f>IF(TabelaCurvaS[[#This Row],[Avanço fabricado (%)]]&gt;=TabelaCurvaS[[#This Row],[Avanço planejado (%)]],TabelaCurvaS[[#This Row],[Avanço fabricado (%)]],NA())</f>
        <v>#N/A</v>
      </c>
      <c r="N115" s="17">
        <f>IF(TabelaCurvaS[[#This Row],[Avanço fabricado (%)]]&lt;TabelaCurvaS[[#This Row],[Avanço planejado (%)]],TabelaCurvaS[[#This Row],[Avanço fabricado (%)]],NA())</f>
        <v>0.38094519449271508</v>
      </c>
    </row>
    <row r="118" spans="1:14">
      <c r="D118" s="12"/>
    </row>
  </sheetData>
  <dataConsolidate/>
  <mergeCells count="1">
    <mergeCell ref="A25:K25"/>
  </mergeCells>
  <conditionalFormatting sqref="J36:J115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{357123AA-ACB9-9D25-9095-DAE83C8418F3}</x14:id>
        </ext>
      </extLst>
    </cfRule>
  </conditionalFormatting>
  <conditionalFormatting sqref="K36:K115">
    <cfRule type="expression" dxfId="110" priority="1">
      <formula>K36="Atrasado"</formula>
    </cfRule>
    <cfRule type="expression" dxfId="109" priority="2">
      <formula>K36="No prazo"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7123AA-ACB9-9D25-9095-DAE83C8418F3}">
            <x14:dataBar>
              <x14:cfvo type="min"/>
              <x14:cfvo type="max"/>
              <x14:negativeFillColor auto="1"/>
              <x14:axisColor auto="1"/>
            </x14:dataBar>
          </x14:cfRule>
          <xm:sqref>J36:J115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92B7-96FF-4F9E-8A69-A707B7D7FAE7}">
  <dimension ref="A1"/>
  <sheetViews>
    <sheetView workbookViewId="0">
      <selection activeCell="R20" sqref="R20"/>
    </sheetView>
  </sheetViews>
  <sheetFormatPr defaultRowHeight="13.9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7180-F615-49D9-BC02-CC6E7F3AEB9B}">
  <dimension ref="A2:O53"/>
  <sheetViews>
    <sheetView zoomScaleNormal="100" workbookViewId="0">
      <selection activeCell="L12" sqref="L12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e">
        <f ca="1">TEXT(INDEX(E:E, MATCH(TODAY(), B:B, 0)), "0,00%")</f>
        <v>#N/A</v>
      </c>
    </row>
    <row r="4" spans="13:13">
      <c r="M4" s="5" t="e">
        <f ca="1">TEXT(INDEX(J:J, MATCH(TODAY(), B:B, 0)), "0,00%")</f>
        <v>#N/A</v>
      </c>
    </row>
    <row r="25" spans="1:15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5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5">
      <c r="A28" s="11" t="s">
        <v>5</v>
      </c>
      <c r="B28" s="11"/>
      <c r="C28" s="11"/>
      <c r="D28" s="12">
        <f>SUM(TabelaCurvaS5[Peso planejado Semanal (kg)])</f>
        <v>29332.46</v>
      </c>
      <c r="E28" s="5" t="s">
        <v>6</v>
      </c>
      <c r="F28" s="5" t="s">
        <v>7</v>
      </c>
      <c r="N28" s="16"/>
      <c r="O28" s="24"/>
    </row>
    <row r="29" spans="1:15">
      <c r="A29" s="11" t="s">
        <v>8</v>
      </c>
      <c r="B29" s="11"/>
      <c r="C29" s="11"/>
      <c r="D29" s="12">
        <v>0</v>
      </c>
      <c r="E29" s="5" t="s">
        <v>6</v>
      </c>
      <c r="F29" s="5" t="s">
        <v>9</v>
      </c>
      <c r="N29" s="16"/>
      <c r="O29" s="24"/>
    </row>
    <row r="30" spans="1:15">
      <c r="A30" s="11" t="s">
        <v>10</v>
      </c>
      <c r="B30" s="11"/>
      <c r="C30" s="11"/>
      <c r="D30" s="13">
        <f>D29/D28</f>
        <v>0</v>
      </c>
      <c r="E30" s="5" t="s">
        <v>11</v>
      </c>
      <c r="F30" s="5" t="s">
        <v>12</v>
      </c>
      <c r="N30" s="16"/>
      <c r="O30" s="24"/>
    </row>
    <row r="31" spans="1:15">
      <c r="A31" s="11" t="s">
        <v>13</v>
      </c>
      <c r="B31" s="11"/>
      <c r="C31" s="11"/>
      <c r="D31" s="14" t="s">
        <v>36</v>
      </c>
      <c r="E31" s="5" t="s">
        <v>15</v>
      </c>
      <c r="F31" s="5" t="s">
        <v>16</v>
      </c>
      <c r="N31" s="16"/>
      <c r="O31" s="24"/>
    </row>
    <row r="32" spans="1:15">
      <c r="A32" s="11" t="s">
        <v>17</v>
      </c>
      <c r="B32" s="11"/>
      <c r="C32" s="11"/>
      <c r="D32" s="12">
        <f>D28/5</f>
        <v>5866.4920000000002</v>
      </c>
      <c r="E32" s="5" t="s">
        <v>37</v>
      </c>
      <c r="F32" s="5" t="s">
        <v>19</v>
      </c>
      <c r="I32" s="16"/>
      <c r="N32" s="16"/>
      <c r="O32" s="24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38</v>
      </c>
      <c r="B35" s="19" t="s">
        <v>39</v>
      </c>
      <c r="C35" s="19" t="s">
        <v>40</v>
      </c>
      <c r="D35" s="19" t="s">
        <v>26</v>
      </c>
      <c r="E35" s="19" t="s">
        <v>27</v>
      </c>
      <c r="F35" s="19" t="s">
        <v>41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46312</v>
      </c>
      <c r="C36" s="24">
        <v>2866.4920000000002</v>
      </c>
      <c r="D36" s="8">
        <f>SUM($C$36:C36)</f>
        <v>2866.4920000000002</v>
      </c>
      <c r="E36" s="17">
        <f t="shared" ref="E36:E41" si="0">D36/$D$28</f>
        <v>9.7724227698597399E-2</v>
      </c>
      <c r="F36" s="23"/>
      <c r="G36" s="8">
        <f>SUM($F$36:F36)</f>
        <v>0</v>
      </c>
      <c r="H36" s="17">
        <f t="shared" ref="H36:H41" si="1">G36/$D$28</f>
        <v>0</v>
      </c>
      <c r="I36" s="8">
        <f t="shared" ref="I36:J36" si="2">G36-D36</f>
        <v>-2866.4920000000002</v>
      </c>
      <c r="J36" s="10">
        <f t="shared" si="2"/>
        <v>-9.7724227698597399E-2</v>
      </c>
      <c r="K36" s="14" t="str">
        <f t="shared" ref="K36:K41" si="3">IF(H36&gt;=E36,"No prazo","Atrasado")</f>
        <v>Atrasado</v>
      </c>
      <c r="L36" s="16"/>
      <c r="M36" s="17" t="e">
        <f>IF(TabelaCurvaS5[[#This Row],[Avanço fabricado (%)]]&gt;=TabelaCurvaS5[[#This Row],[Avanço planejado (%)]],TabelaCurvaS5[[#This Row],[Avanço fabricado (%)]],NA())</f>
        <v>#N/A</v>
      </c>
      <c r="N36" s="17">
        <f>IF(TabelaCurvaS5[[#This Row],[Avanço fabricado (%)]]&lt;TabelaCurvaS5[[#This Row],[Avanço planejado (%)]],TabelaCurvaS5[[#This Row],[Avanço fabricado (%)]],NA())</f>
        <v>0</v>
      </c>
    </row>
    <row r="37" spans="1:14">
      <c r="A37" s="6">
        <v>2</v>
      </c>
      <c r="B37" s="15">
        <v>46319</v>
      </c>
      <c r="C37" s="24">
        <v>5866.4920000000002</v>
      </c>
      <c r="D37" s="8">
        <f>SUM($C$36:C37)</f>
        <v>8732.9840000000004</v>
      </c>
      <c r="E37" s="17">
        <f t="shared" si="0"/>
        <v>0.29772422769859741</v>
      </c>
      <c r="F37" s="23"/>
      <c r="G37" s="8">
        <f>SUM($F$36:F37)</f>
        <v>0</v>
      </c>
      <c r="H37" s="17">
        <f t="shared" si="1"/>
        <v>0</v>
      </c>
      <c r="I37" s="8">
        <f t="shared" ref="I37:J41" si="4">G37-D37</f>
        <v>-8732.9840000000004</v>
      </c>
      <c r="J37" s="10">
        <f t="shared" si="4"/>
        <v>-0.29772422769859741</v>
      </c>
      <c r="K37" s="14" t="str">
        <f t="shared" si="3"/>
        <v>Atrasado</v>
      </c>
      <c r="L37" s="16"/>
      <c r="M37" s="17" t="e">
        <f>IF(TabelaCurvaS5[[#This Row],[Avanço fabricado (%)]]&gt;=TabelaCurvaS5[[#This Row],[Avanço planejado (%)]],TabelaCurvaS5[[#This Row],[Avanço fabricado (%)]],NA())</f>
        <v>#N/A</v>
      </c>
      <c r="N37" s="17">
        <f>IF(TabelaCurvaS5[[#This Row],[Avanço fabricado (%)]]&lt;TabelaCurvaS5[[#This Row],[Avanço planejado (%)]],TabelaCurvaS5[[#This Row],[Avanço fabricado (%)]],NA())</f>
        <v>0</v>
      </c>
    </row>
    <row r="38" spans="1:14">
      <c r="A38" s="6">
        <v>3</v>
      </c>
      <c r="B38" s="15">
        <v>46326</v>
      </c>
      <c r="C38" s="24">
        <v>5866.4920000000002</v>
      </c>
      <c r="D38" s="8">
        <f>SUM($C$36:C38)</f>
        <v>14599.476000000001</v>
      </c>
      <c r="E38" s="17">
        <f t="shared" si="0"/>
        <v>0.49772422769859742</v>
      </c>
      <c r="F38" s="23"/>
      <c r="G38" s="8">
        <f>SUM($F$36:F38)</f>
        <v>0</v>
      </c>
      <c r="H38" s="17">
        <f t="shared" si="1"/>
        <v>0</v>
      </c>
      <c r="I38" s="8">
        <f t="shared" si="4"/>
        <v>-14599.476000000001</v>
      </c>
      <c r="J38" s="10">
        <f t="shared" si="4"/>
        <v>-0.49772422769859742</v>
      </c>
      <c r="K38" s="14" t="str">
        <f t="shared" si="3"/>
        <v>Atrasado</v>
      </c>
      <c r="L38" s="16"/>
      <c r="M38" s="17" t="e">
        <f>IF(TabelaCurvaS5[[#This Row],[Avanço fabricado (%)]]&gt;=TabelaCurvaS5[[#This Row],[Avanço planejado (%)]],TabelaCurvaS5[[#This Row],[Avanço fabricado (%)]],NA())</f>
        <v>#N/A</v>
      </c>
      <c r="N38" s="17">
        <f>IF(TabelaCurvaS5[[#This Row],[Avanço fabricado (%)]]&lt;TabelaCurvaS5[[#This Row],[Avanço planejado (%)]],TabelaCurvaS5[[#This Row],[Avanço fabricado (%)]],NA())</f>
        <v>0</v>
      </c>
    </row>
    <row r="39" spans="1:14">
      <c r="A39" s="6">
        <v>4</v>
      </c>
      <c r="B39" s="15">
        <v>46333</v>
      </c>
      <c r="C39" s="24">
        <v>5866.4920000000002</v>
      </c>
      <c r="D39" s="8">
        <f>SUM($C$36:C39)</f>
        <v>20465.968000000001</v>
      </c>
      <c r="E39" s="17">
        <f t="shared" si="0"/>
        <v>0.69772422769859743</v>
      </c>
      <c r="F39" s="23"/>
      <c r="G39" s="8">
        <f>SUM($F$36:F39)</f>
        <v>0</v>
      </c>
      <c r="H39" s="17">
        <f t="shared" si="1"/>
        <v>0</v>
      </c>
      <c r="I39" s="8">
        <f t="shared" si="4"/>
        <v>-20465.968000000001</v>
      </c>
      <c r="J39" s="10">
        <f t="shared" si="4"/>
        <v>-0.69772422769859743</v>
      </c>
      <c r="K39" s="14" t="str">
        <f t="shared" si="3"/>
        <v>Atrasado</v>
      </c>
      <c r="L39" s="16"/>
      <c r="M39" s="17" t="e">
        <f>IF(TabelaCurvaS5[[#This Row],[Avanço fabricado (%)]]&gt;=TabelaCurvaS5[[#This Row],[Avanço planejado (%)]],TabelaCurvaS5[[#This Row],[Avanço fabricado (%)]],NA())</f>
        <v>#N/A</v>
      </c>
      <c r="N39" s="17">
        <f>IF(TabelaCurvaS5[[#This Row],[Avanço fabricado (%)]]&lt;TabelaCurvaS5[[#This Row],[Avanço planejado (%)]],TabelaCurvaS5[[#This Row],[Avanço fabricado (%)]],NA())</f>
        <v>0</v>
      </c>
    </row>
    <row r="40" spans="1:14">
      <c r="A40" s="6">
        <v>5</v>
      </c>
      <c r="B40" s="15">
        <v>46340</v>
      </c>
      <c r="C40" s="24">
        <v>5866.4920000000002</v>
      </c>
      <c r="D40" s="8">
        <f>SUM($C$36:C40)</f>
        <v>26332.46</v>
      </c>
      <c r="E40" s="17">
        <f t="shared" si="0"/>
        <v>0.89772422769859739</v>
      </c>
      <c r="F40" s="23"/>
      <c r="G40" s="8">
        <f>SUM($F$36:F40)</f>
        <v>0</v>
      </c>
      <c r="H40" s="17">
        <f t="shared" si="1"/>
        <v>0</v>
      </c>
      <c r="I40" s="8">
        <f t="shared" si="4"/>
        <v>-26332.46</v>
      </c>
      <c r="J40" s="10">
        <f t="shared" si="4"/>
        <v>-0.89772422769859739</v>
      </c>
      <c r="K40" s="14" t="str">
        <f t="shared" si="3"/>
        <v>Atrasado</v>
      </c>
      <c r="L40" s="16"/>
      <c r="M40" s="17" t="e">
        <f>IF(TabelaCurvaS5[[#This Row],[Avanço fabricado (%)]]&gt;=TabelaCurvaS5[[#This Row],[Avanço planejado (%)]],TabelaCurvaS5[[#This Row],[Avanço fabricado (%)]],NA())</f>
        <v>#N/A</v>
      </c>
      <c r="N40" s="17">
        <f>IF(TabelaCurvaS5[[#This Row],[Avanço fabricado (%)]]&lt;TabelaCurvaS5[[#This Row],[Avanço planejado (%)]],TabelaCurvaS5[[#This Row],[Avanço fabricado (%)]],NA())</f>
        <v>0</v>
      </c>
    </row>
    <row r="41" spans="1:14">
      <c r="A41" s="6">
        <v>6</v>
      </c>
      <c r="B41" s="15">
        <v>46347</v>
      </c>
      <c r="C41" s="22">
        <v>3000</v>
      </c>
      <c r="D41" s="8">
        <f>SUM($C$36:C41)</f>
        <v>29332.46</v>
      </c>
      <c r="E41" s="17">
        <f t="shared" si="0"/>
        <v>1</v>
      </c>
      <c r="F41" s="23"/>
      <c r="G41" s="8">
        <f>SUM($F$36:F41)</f>
        <v>0</v>
      </c>
      <c r="H41" s="17">
        <f t="shared" si="1"/>
        <v>0</v>
      </c>
      <c r="I41" s="8">
        <f t="shared" si="4"/>
        <v>-29332.46</v>
      </c>
      <c r="J41" s="10">
        <f t="shared" si="4"/>
        <v>-1</v>
      </c>
      <c r="K41" s="14" t="str">
        <f t="shared" si="3"/>
        <v>Atrasado</v>
      </c>
      <c r="L41" s="16"/>
      <c r="M41" s="17" t="e">
        <f>IF(TabelaCurvaS5[[#This Row],[Avanço fabricado (%)]]&gt;=TabelaCurvaS5[[#This Row],[Avanço planejado (%)]],TabelaCurvaS5[[#This Row],[Avanço fabricado (%)]],NA())</f>
        <v>#N/A</v>
      </c>
      <c r="N41" s="17">
        <f>IF(TabelaCurvaS5[[#This Row],[Avanço fabricado (%)]]&lt;TabelaCurvaS5[[#This Row],[Avanço planejado (%)]],TabelaCurvaS5[[#This Row],[Avanço fabricado (%)]],NA())</f>
        <v>0</v>
      </c>
    </row>
    <row r="44" spans="1:14">
      <c r="D44" s="12"/>
    </row>
    <row r="53" spans="8:8">
      <c r="H53" s="16"/>
    </row>
  </sheetData>
  <dataConsolidate/>
  <mergeCells count="1">
    <mergeCell ref="A25:K25"/>
  </mergeCells>
  <conditionalFormatting sqref="K36:K41">
    <cfRule type="expression" dxfId="94" priority="1">
      <formula>K36="Atrasado"</formula>
    </cfRule>
    <cfRule type="expression" dxfId="93" priority="2">
      <formula>K36="No prazo"</formula>
    </cfRule>
  </conditionalFormatting>
  <conditionalFormatting sqref="J36:J41">
    <cfRule type="dataBar" priority="15">
      <dataBar>
        <cfvo type="min"/>
        <cfvo type="max"/>
        <color rgb="FF70AD47"/>
      </dataBar>
    </cfRule>
    <cfRule type="dataBar" priority="1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{57C68D29-96C9-4EFC-BB45-FA686F77CF0A}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C68D29-96C9-4EFC-BB45-FA686F77CF0A}">
            <x14:dataBar>
              <x14:cfvo type="min"/>
              <x14:cfvo type="max"/>
              <x14:negativeFillColor auto="1"/>
              <x14:axisColor auto="1"/>
            </x14:dataBar>
          </x14:cfRule>
          <xm:sqref>J36:J41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A627-CD7B-400A-8B70-9FA2E7BB547F}">
  <dimension ref="A2:O53"/>
  <sheetViews>
    <sheetView zoomScaleNormal="100" workbookViewId="0">
      <selection activeCell="M10" sqref="M10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e">
        <f ca="1">TEXT(INDEX(E:E, MATCH(TODAY(), B:B, 0)), "0,00%")</f>
        <v>#N/A</v>
      </c>
    </row>
    <row r="4" spans="13:13">
      <c r="M4" s="5" t="e">
        <f ca="1">TEXT(INDEX(J:J, MATCH(TODAY(), B:B, 0)), "0,00%")</f>
        <v>#N/A</v>
      </c>
    </row>
    <row r="25" spans="1:15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5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5">
      <c r="A28" s="11" t="s">
        <v>5</v>
      </c>
      <c r="B28" s="11"/>
      <c r="C28" s="11"/>
      <c r="D28" s="12">
        <f>SUM(TabelaCurvaS56[Peso planejado Semanal (kg)])</f>
        <v>40889.86</v>
      </c>
      <c r="E28" s="5" t="s">
        <v>6</v>
      </c>
      <c r="F28" s="5" t="s">
        <v>7</v>
      </c>
      <c r="N28" s="16"/>
      <c r="O28" s="24"/>
    </row>
    <row r="29" spans="1:15">
      <c r="A29" s="11" t="s">
        <v>8</v>
      </c>
      <c r="B29" s="11"/>
      <c r="C29" s="11"/>
      <c r="D29" s="12">
        <v>0</v>
      </c>
      <c r="E29" s="5" t="s">
        <v>6</v>
      </c>
      <c r="F29" s="5" t="s">
        <v>9</v>
      </c>
      <c r="N29" s="16"/>
      <c r="O29" s="24"/>
    </row>
    <row r="30" spans="1:15">
      <c r="A30" s="11" t="s">
        <v>10</v>
      </c>
      <c r="B30" s="11"/>
      <c r="C30" s="11"/>
      <c r="D30" s="13">
        <f>D29/D28</f>
        <v>0</v>
      </c>
      <c r="E30" s="5" t="s">
        <v>11</v>
      </c>
      <c r="F30" s="5" t="s">
        <v>12</v>
      </c>
      <c r="N30" s="16"/>
      <c r="O30" s="24"/>
    </row>
    <row r="31" spans="1:15">
      <c r="A31" s="11" t="s">
        <v>13</v>
      </c>
      <c r="B31" s="11"/>
      <c r="C31" s="11"/>
      <c r="D31" s="14" t="s">
        <v>36</v>
      </c>
      <c r="E31" s="5" t="s">
        <v>15</v>
      </c>
      <c r="F31" s="5" t="s">
        <v>16</v>
      </c>
      <c r="N31" s="16"/>
      <c r="O31" s="24"/>
    </row>
    <row r="32" spans="1:15">
      <c r="A32" s="11" t="s">
        <v>17</v>
      </c>
      <c r="B32" s="11"/>
      <c r="C32" s="11"/>
      <c r="D32" s="12">
        <f>D28/5</f>
        <v>8177.9719999999998</v>
      </c>
      <c r="E32" s="5" t="s">
        <v>37</v>
      </c>
      <c r="F32" s="5" t="s">
        <v>19</v>
      </c>
      <c r="I32" s="16"/>
      <c r="N32" s="16"/>
      <c r="O32" s="24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38</v>
      </c>
      <c r="B35" s="19" t="s">
        <v>39</v>
      </c>
      <c r="C35" s="19" t="s">
        <v>40</v>
      </c>
      <c r="D35" s="19" t="s">
        <v>26</v>
      </c>
      <c r="E35" s="19" t="s">
        <v>27</v>
      </c>
      <c r="F35" s="19" t="s">
        <v>41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46312</v>
      </c>
      <c r="C36" s="24">
        <v>5177.9719999999998</v>
      </c>
      <c r="D36" s="8">
        <f>SUM($C$36:C36)</f>
        <v>5177.9719999999998</v>
      </c>
      <c r="E36" s="17">
        <f t="shared" ref="E36:E41" si="0">D36/$D$28</f>
        <v>0.12663217726839857</v>
      </c>
      <c r="F36" s="23"/>
      <c r="G36" s="8">
        <f>SUM($F$36:F36)</f>
        <v>0</v>
      </c>
      <c r="H36" s="17">
        <f t="shared" ref="H36:H41" si="1">G36/$D$28</f>
        <v>0</v>
      </c>
      <c r="I36" s="8">
        <f t="shared" ref="I36:J41" si="2">G36-D36</f>
        <v>-5177.9719999999998</v>
      </c>
      <c r="J36" s="10">
        <f t="shared" si="2"/>
        <v>-0.12663217726839857</v>
      </c>
      <c r="K36" s="14" t="str">
        <f t="shared" ref="K36:K41" si="3">IF(H36&gt;=E36,"No prazo","Atrasado")</f>
        <v>Atrasado</v>
      </c>
      <c r="L36" s="16"/>
      <c r="M36" s="17" t="e">
        <f>IF(TabelaCurvaS56[[#This Row],[Avanço fabricado (%)]]&gt;=TabelaCurvaS56[[#This Row],[Avanço planejado (%)]],TabelaCurvaS56[[#This Row],[Avanço fabricado (%)]],NA())</f>
        <v>#N/A</v>
      </c>
      <c r="N36" s="17">
        <f>IF(TabelaCurvaS56[[#This Row],[Avanço fabricado (%)]]&lt;TabelaCurvaS56[[#This Row],[Avanço planejado (%)]],TabelaCurvaS56[[#This Row],[Avanço fabricado (%)]],NA())</f>
        <v>0</v>
      </c>
    </row>
    <row r="37" spans="1:14">
      <c r="A37" s="6">
        <v>2</v>
      </c>
      <c r="B37" s="15">
        <v>46319</v>
      </c>
      <c r="C37" s="24">
        <v>8177.9719999999998</v>
      </c>
      <c r="D37" s="8">
        <f>SUM($C$36:C37)</f>
        <v>13355.944</v>
      </c>
      <c r="E37" s="17">
        <f t="shared" si="0"/>
        <v>0.32663217726839855</v>
      </c>
      <c r="F37" s="23"/>
      <c r="G37" s="8">
        <f>SUM($F$36:F37)</f>
        <v>0</v>
      </c>
      <c r="H37" s="17">
        <f t="shared" si="1"/>
        <v>0</v>
      </c>
      <c r="I37" s="8">
        <f t="shared" si="2"/>
        <v>-13355.944</v>
      </c>
      <c r="J37" s="10">
        <f t="shared" si="2"/>
        <v>-0.32663217726839855</v>
      </c>
      <c r="K37" s="14" t="str">
        <f t="shared" si="3"/>
        <v>Atrasado</v>
      </c>
      <c r="L37" s="16"/>
      <c r="M37" s="17" t="e">
        <f>IF(TabelaCurvaS56[[#This Row],[Avanço fabricado (%)]]&gt;=TabelaCurvaS56[[#This Row],[Avanço planejado (%)]],TabelaCurvaS56[[#This Row],[Avanço fabricado (%)]],NA())</f>
        <v>#N/A</v>
      </c>
      <c r="N37" s="17">
        <f>IF(TabelaCurvaS56[[#This Row],[Avanço fabricado (%)]]&lt;TabelaCurvaS56[[#This Row],[Avanço planejado (%)]],TabelaCurvaS56[[#This Row],[Avanço fabricado (%)]],NA())</f>
        <v>0</v>
      </c>
    </row>
    <row r="38" spans="1:14">
      <c r="A38" s="6">
        <v>3</v>
      </c>
      <c r="B38" s="15">
        <v>46326</v>
      </c>
      <c r="C38" s="24">
        <v>8177.9719999999998</v>
      </c>
      <c r="D38" s="8">
        <f>SUM($C$36:C38)</f>
        <v>21533.915999999997</v>
      </c>
      <c r="E38" s="17">
        <f t="shared" si="0"/>
        <v>0.5266321772683985</v>
      </c>
      <c r="F38" s="23"/>
      <c r="G38" s="8">
        <f>SUM($F$36:F38)</f>
        <v>0</v>
      </c>
      <c r="H38" s="17">
        <f t="shared" si="1"/>
        <v>0</v>
      </c>
      <c r="I38" s="8">
        <f t="shared" si="2"/>
        <v>-21533.915999999997</v>
      </c>
      <c r="J38" s="10">
        <f t="shared" si="2"/>
        <v>-0.5266321772683985</v>
      </c>
      <c r="K38" s="14" t="str">
        <f t="shared" si="3"/>
        <v>Atrasado</v>
      </c>
      <c r="L38" s="16"/>
      <c r="M38" s="17" t="e">
        <f>IF(TabelaCurvaS56[[#This Row],[Avanço fabricado (%)]]&gt;=TabelaCurvaS56[[#This Row],[Avanço planejado (%)]],TabelaCurvaS56[[#This Row],[Avanço fabricado (%)]],NA())</f>
        <v>#N/A</v>
      </c>
      <c r="N38" s="17">
        <f>IF(TabelaCurvaS56[[#This Row],[Avanço fabricado (%)]]&lt;TabelaCurvaS56[[#This Row],[Avanço planejado (%)]],TabelaCurvaS56[[#This Row],[Avanço fabricado (%)]],NA())</f>
        <v>0</v>
      </c>
    </row>
    <row r="39" spans="1:14">
      <c r="A39" s="6">
        <v>4</v>
      </c>
      <c r="B39" s="15">
        <v>46333</v>
      </c>
      <c r="C39" s="24">
        <v>8177.9719999999998</v>
      </c>
      <c r="D39" s="8">
        <f>SUM($C$36:C39)</f>
        <v>29711.887999999999</v>
      </c>
      <c r="E39" s="17">
        <f t="shared" si="0"/>
        <v>0.72663217726839857</v>
      </c>
      <c r="F39" s="23"/>
      <c r="G39" s="8">
        <f>SUM($F$36:F39)</f>
        <v>0</v>
      </c>
      <c r="H39" s="17">
        <f t="shared" si="1"/>
        <v>0</v>
      </c>
      <c r="I39" s="8">
        <f t="shared" si="2"/>
        <v>-29711.887999999999</v>
      </c>
      <c r="J39" s="10">
        <f t="shared" si="2"/>
        <v>-0.72663217726839857</v>
      </c>
      <c r="K39" s="14" t="str">
        <f t="shared" si="3"/>
        <v>Atrasado</v>
      </c>
      <c r="L39" s="16"/>
      <c r="M39" s="17" t="e">
        <f>IF(TabelaCurvaS56[[#This Row],[Avanço fabricado (%)]]&gt;=TabelaCurvaS56[[#This Row],[Avanço planejado (%)]],TabelaCurvaS56[[#This Row],[Avanço fabricado (%)]],NA())</f>
        <v>#N/A</v>
      </c>
      <c r="N39" s="17">
        <f>IF(TabelaCurvaS56[[#This Row],[Avanço fabricado (%)]]&lt;TabelaCurvaS56[[#This Row],[Avanço planejado (%)]],TabelaCurvaS56[[#This Row],[Avanço fabricado (%)]],NA())</f>
        <v>0</v>
      </c>
    </row>
    <row r="40" spans="1:14">
      <c r="A40" s="6">
        <v>5</v>
      </c>
      <c r="B40" s="15">
        <v>46340</v>
      </c>
      <c r="C40" s="24">
        <v>8177.9719999999998</v>
      </c>
      <c r="D40" s="8">
        <f>SUM($C$36:C40)</f>
        <v>37889.86</v>
      </c>
      <c r="E40" s="17">
        <f t="shared" si="0"/>
        <v>0.92663217726839853</v>
      </c>
      <c r="F40" s="23"/>
      <c r="G40" s="8">
        <f>SUM($F$36:F40)</f>
        <v>0</v>
      </c>
      <c r="H40" s="17">
        <f t="shared" si="1"/>
        <v>0</v>
      </c>
      <c r="I40" s="8">
        <f t="shared" si="2"/>
        <v>-37889.86</v>
      </c>
      <c r="J40" s="10">
        <f t="shared" si="2"/>
        <v>-0.92663217726839853</v>
      </c>
      <c r="K40" s="14" t="str">
        <f t="shared" si="3"/>
        <v>Atrasado</v>
      </c>
      <c r="L40" s="16"/>
      <c r="M40" s="17" t="e">
        <f>IF(TabelaCurvaS56[[#This Row],[Avanço fabricado (%)]]&gt;=TabelaCurvaS56[[#This Row],[Avanço planejado (%)]],TabelaCurvaS56[[#This Row],[Avanço fabricado (%)]],NA())</f>
        <v>#N/A</v>
      </c>
      <c r="N40" s="17">
        <f>IF(TabelaCurvaS56[[#This Row],[Avanço fabricado (%)]]&lt;TabelaCurvaS56[[#This Row],[Avanço planejado (%)]],TabelaCurvaS56[[#This Row],[Avanço fabricado (%)]],NA())</f>
        <v>0</v>
      </c>
    </row>
    <row r="41" spans="1:14">
      <c r="A41" s="6">
        <v>6</v>
      </c>
      <c r="B41" s="15">
        <v>46347</v>
      </c>
      <c r="C41" s="22">
        <v>3000</v>
      </c>
      <c r="D41" s="8">
        <f>SUM($C$36:C41)</f>
        <v>40889.86</v>
      </c>
      <c r="E41" s="17">
        <f t="shared" si="0"/>
        <v>1</v>
      </c>
      <c r="F41" s="23"/>
      <c r="G41" s="8">
        <f>SUM($F$36:F41)</f>
        <v>0</v>
      </c>
      <c r="H41" s="17">
        <f t="shared" si="1"/>
        <v>0</v>
      </c>
      <c r="I41" s="8">
        <f t="shared" si="2"/>
        <v>-40889.86</v>
      </c>
      <c r="J41" s="10">
        <f t="shared" si="2"/>
        <v>-1</v>
      </c>
      <c r="K41" s="14" t="str">
        <f t="shared" si="3"/>
        <v>Atrasado</v>
      </c>
      <c r="L41" s="16"/>
      <c r="M41" s="17" t="e">
        <f>IF(TabelaCurvaS56[[#This Row],[Avanço fabricado (%)]]&gt;=TabelaCurvaS56[[#This Row],[Avanço planejado (%)]],TabelaCurvaS56[[#This Row],[Avanço fabricado (%)]],NA())</f>
        <v>#N/A</v>
      </c>
      <c r="N41" s="17">
        <f>IF(TabelaCurvaS56[[#This Row],[Avanço fabricado (%)]]&lt;TabelaCurvaS56[[#This Row],[Avanço planejado (%)]],TabelaCurvaS56[[#This Row],[Avanço fabricado (%)]],NA())</f>
        <v>0</v>
      </c>
    </row>
    <row r="44" spans="1:14">
      <c r="D44" s="12"/>
    </row>
    <row r="53" spans="8:8">
      <c r="H53" s="16"/>
    </row>
  </sheetData>
  <dataConsolidate/>
  <mergeCells count="1">
    <mergeCell ref="A25:K25"/>
  </mergeCells>
  <conditionalFormatting sqref="K36:K41">
    <cfRule type="expression" dxfId="78" priority="1">
      <formula>K36="Atrasado"</formula>
    </cfRule>
    <cfRule type="expression" dxfId="77" priority="2">
      <formula>K36="No prazo"</formula>
    </cfRule>
  </conditionalFormatting>
  <conditionalFormatting sqref="J36:J41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{DD68E4A6-1CD6-479A-830B-CBE2F3B266A4}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8E4A6-1CD6-479A-830B-CBE2F3B266A4}">
            <x14:dataBar>
              <x14:cfvo type="min"/>
              <x14:cfvo type="max"/>
              <x14:negativeFillColor auto="1"/>
              <x14:axisColor auto="1"/>
            </x14:dataBar>
          </x14:cfRule>
          <xm:sqref>J36:J41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AC29-B4A9-40CC-A6DC-8E757CDD5F88}">
  <dimension ref="A2:O53"/>
  <sheetViews>
    <sheetView zoomScaleNormal="100" workbookViewId="0">
      <selection activeCell="M7" sqref="M7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e">
        <f ca="1">TEXT(INDEX(E:E, MATCH(TODAY(), B:B, 0)), "0,00%")</f>
        <v>#N/A</v>
      </c>
    </row>
    <row r="4" spans="13:13">
      <c r="M4" s="5" t="e">
        <f ca="1">TEXT(INDEX(J:J, MATCH(TODAY(), B:B, 0)), "0,00%")</f>
        <v>#N/A</v>
      </c>
    </row>
    <row r="25" spans="1:15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5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5">
      <c r="A28" s="11" t="s">
        <v>5</v>
      </c>
      <c r="B28" s="11"/>
      <c r="C28" s="11"/>
      <c r="D28" s="12">
        <f>SUM(TabelaCurvaS567[Peso planejado Semanal (kg)])</f>
        <v>41865.57</v>
      </c>
      <c r="E28" s="5" t="s">
        <v>6</v>
      </c>
      <c r="F28" s="5" t="s">
        <v>7</v>
      </c>
      <c r="N28" s="16"/>
      <c r="O28" s="24"/>
    </row>
    <row r="29" spans="1:15">
      <c r="A29" s="11" t="s">
        <v>8</v>
      </c>
      <c r="B29" s="11"/>
      <c r="C29" s="11"/>
      <c r="D29" s="12">
        <v>0</v>
      </c>
      <c r="E29" s="5" t="s">
        <v>6</v>
      </c>
      <c r="F29" s="5" t="s">
        <v>9</v>
      </c>
      <c r="N29" s="16"/>
      <c r="O29" s="24"/>
    </row>
    <row r="30" spans="1:15">
      <c r="A30" s="11" t="s">
        <v>10</v>
      </c>
      <c r="B30" s="11"/>
      <c r="C30" s="11"/>
      <c r="D30" s="13">
        <f>D29/D28</f>
        <v>0</v>
      </c>
      <c r="E30" s="5" t="s">
        <v>11</v>
      </c>
      <c r="F30" s="5" t="s">
        <v>12</v>
      </c>
      <c r="N30" s="16"/>
      <c r="O30" s="24"/>
    </row>
    <row r="31" spans="1:15">
      <c r="A31" s="11" t="s">
        <v>13</v>
      </c>
      <c r="B31" s="11"/>
      <c r="C31" s="11"/>
      <c r="D31" s="14" t="s">
        <v>36</v>
      </c>
      <c r="E31" s="5" t="s">
        <v>15</v>
      </c>
      <c r="F31" s="5" t="s">
        <v>16</v>
      </c>
      <c r="N31" s="16"/>
      <c r="O31" s="24"/>
    </row>
    <row r="32" spans="1:15">
      <c r="A32" s="11" t="s">
        <v>17</v>
      </c>
      <c r="B32" s="11"/>
      <c r="C32" s="11"/>
      <c r="D32" s="12">
        <f>D28/5</f>
        <v>8373.1139999999996</v>
      </c>
      <c r="E32" s="5" t="s">
        <v>37</v>
      </c>
      <c r="F32" s="5" t="s">
        <v>19</v>
      </c>
      <c r="I32" s="16"/>
      <c r="N32" s="16"/>
      <c r="O32" s="24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38</v>
      </c>
      <c r="B35" s="19" t="s">
        <v>39</v>
      </c>
      <c r="C35" s="19" t="s">
        <v>40</v>
      </c>
      <c r="D35" s="19" t="s">
        <v>26</v>
      </c>
      <c r="E35" s="19" t="s">
        <v>27</v>
      </c>
      <c r="F35" s="19" t="s">
        <v>41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46312</v>
      </c>
      <c r="C36" s="24">
        <v>5373.1139999999996</v>
      </c>
      <c r="D36" s="8">
        <f>SUM($C$36:C36)</f>
        <v>5373.1139999999996</v>
      </c>
      <c r="E36" s="17">
        <f t="shared" ref="E36:E41" si="0">D36/$D$28</f>
        <v>0.12834207201765077</v>
      </c>
      <c r="F36" s="23">
        <v>0</v>
      </c>
      <c r="G36" s="8">
        <f>SUM($F$36:F36)</f>
        <v>0</v>
      </c>
      <c r="H36" s="17">
        <f t="shared" ref="H36:H41" si="1">G36/$D$28</f>
        <v>0</v>
      </c>
      <c r="I36" s="8">
        <f t="shared" ref="I36:J41" si="2">G36-D36</f>
        <v>-5373.1139999999996</v>
      </c>
      <c r="J36" s="10">
        <f t="shared" si="2"/>
        <v>-0.12834207201765077</v>
      </c>
      <c r="K36" s="14" t="str">
        <f t="shared" ref="K36:K41" si="3">IF(H36&gt;=E36,"No prazo","Atrasado")</f>
        <v>Atrasado</v>
      </c>
      <c r="L36" s="16"/>
      <c r="M36" s="17" t="e">
        <f>IF(TabelaCurvaS567[[#This Row],[Avanço fabricado (%)]]&gt;=TabelaCurvaS567[[#This Row],[Avanço planejado (%)]],TabelaCurvaS567[[#This Row],[Avanço fabricado (%)]],NA())</f>
        <v>#N/A</v>
      </c>
      <c r="N36" s="17">
        <f>IF(TabelaCurvaS567[[#This Row],[Avanço fabricado (%)]]&lt;TabelaCurvaS567[[#This Row],[Avanço planejado (%)]],TabelaCurvaS567[[#This Row],[Avanço fabricado (%)]],NA())</f>
        <v>0</v>
      </c>
    </row>
    <row r="37" spans="1:14">
      <c r="A37" s="6">
        <v>2</v>
      </c>
      <c r="B37" s="15">
        <v>46319</v>
      </c>
      <c r="C37" s="24">
        <v>8373.1139999999996</v>
      </c>
      <c r="D37" s="8">
        <f>SUM($C$36:C37)</f>
        <v>13746.227999999999</v>
      </c>
      <c r="E37" s="17">
        <f t="shared" si="0"/>
        <v>0.32834207201765075</v>
      </c>
      <c r="F37" s="23">
        <v>0</v>
      </c>
      <c r="G37" s="8">
        <f>SUM($F$36:F37)</f>
        <v>0</v>
      </c>
      <c r="H37" s="17">
        <f t="shared" si="1"/>
        <v>0</v>
      </c>
      <c r="I37" s="8">
        <f t="shared" si="2"/>
        <v>-13746.227999999999</v>
      </c>
      <c r="J37" s="10">
        <f t="shared" si="2"/>
        <v>-0.32834207201765075</v>
      </c>
      <c r="K37" s="14" t="str">
        <f t="shared" si="3"/>
        <v>Atrasado</v>
      </c>
      <c r="L37" s="16"/>
      <c r="M37" s="17" t="e">
        <f>IF(TabelaCurvaS567[[#This Row],[Avanço fabricado (%)]]&gt;=TabelaCurvaS567[[#This Row],[Avanço planejado (%)]],TabelaCurvaS567[[#This Row],[Avanço fabricado (%)]],NA())</f>
        <v>#N/A</v>
      </c>
      <c r="N37" s="17">
        <f>IF(TabelaCurvaS567[[#This Row],[Avanço fabricado (%)]]&lt;TabelaCurvaS567[[#This Row],[Avanço planejado (%)]],TabelaCurvaS567[[#This Row],[Avanço fabricado (%)]],NA())</f>
        <v>0</v>
      </c>
    </row>
    <row r="38" spans="1:14">
      <c r="A38" s="6">
        <v>3</v>
      </c>
      <c r="B38" s="15">
        <v>46326</v>
      </c>
      <c r="C38" s="24">
        <v>8373.1139999999996</v>
      </c>
      <c r="D38" s="8">
        <f>SUM($C$36:C38)</f>
        <v>22119.341999999997</v>
      </c>
      <c r="E38" s="17">
        <f t="shared" si="0"/>
        <v>0.52834207201765071</v>
      </c>
      <c r="F38" s="23">
        <v>0</v>
      </c>
      <c r="G38" s="8">
        <f>SUM($F$36:F38)</f>
        <v>0</v>
      </c>
      <c r="H38" s="17">
        <f t="shared" si="1"/>
        <v>0</v>
      </c>
      <c r="I38" s="8">
        <f t="shared" si="2"/>
        <v>-22119.341999999997</v>
      </c>
      <c r="J38" s="10">
        <f t="shared" si="2"/>
        <v>-0.52834207201765071</v>
      </c>
      <c r="K38" s="14" t="str">
        <f t="shared" si="3"/>
        <v>Atrasado</v>
      </c>
      <c r="L38" s="16"/>
      <c r="M38" s="17" t="e">
        <f>IF(TabelaCurvaS567[[#This Row],[Avanço fabricado (%)]]&gt;=TabelaCurvaS567[[#This Row],[Avanço planejado (%)]],TabelaCurvaS567[[#This Row],[Avanço fabricado (%)]],NA())</f>
        <v>#N/A</v>
      </c>
      <c r="N38" s="17">
        <f>IF(TabelaCurvaS567[[#This Row],[Avanço fabricado (%)]]&lt;TabelaCurvaS567[[#This Row],[Avanço planejado (%)]],TabelaCurvaS567[[#This Row],[Avanço fabricado (%)]],NA())</f>
        <v>0</v>
      </c>
    </row>
    <row r="39" spans="1:14">
      <c r="A39" s="6">
        <v>4</v>
      </c>
      <c r="B39" s="15">
        <v>46333</v>
      </c>
      <c r="C39" s="24">
        <v>8373.1139999999996</v>
      </c>
      <c r="D39" s="8">
        <f>SUM($C$36:C39)</f>
        <v>30492.455999999998</v>
      </c>
      <c r="E39" s="17">
        <f t="shared" si="0"/>
        <v>0.72834207201765078</v>
      </c>
      <c r="F39" s="23">
        <v>0</v>
      </c>
      <c r="G39" s="8">
        <f>SUM($F$36:F39)</f>
        <v>0</v>
      </c>
      <c r="H39" s="17">
        <f t="shared" si="1"/>
        <v>0</v>
      </c>
      <c r="I39" s="8">
        <f t="shared" si="2"/>
        <v>-30492.455999999998</v>
      </c>
      <c r="J39" s="10">
        <f t="shared" si="2"/>
        <v>-0.72834207201765078</v>
      </c>
      <c r="K39" s="14" t="str">
        <f t="shared" si="3"/>
        <v>Atrasado</v>
      </c>
      <c r="L39" s="16"/>
      <c r="M39" s="17" t="e">
        <f>IF(TabelaCurvaS567[[#This Row],[Avanço fabricado (%)]]&gt;=TabelaCurvaS567[[#This Row],[Avanço planejado (%)]],TabelaCurvaS567[[#This Row],[Avanço fabricado (%)]],NA())</f>
        <v>#N/A</v>
      </c>
      <c r="N39" s="17">
        <f>IF(TabelaCurvaS567[[#This Row],[Avanço fabricado (%)]]&lt;TabelaCurvaS567[[#This Row],[Avanço planejado (%)]],TabelaCurvaS567[[#This Row],[Avanço fabricado (%)]],NA())</f>
        <v>0</v>
      </c>
    </row>
    <row r="40" spans="1:14">
      <c r="A40" s="6">
        <v>5</v>
      </c>
      <c r="B40" s="15">
        <v>46340</v>
      </c>
      <c r="C40" s="24">
        <v>8373.1139999999996</v>
      </c>
      <c r="D40" s="8">
        <f>SUM($C$36:C40)</f>
        <v>38865.57</v>
      </c>
      <c r="E40" s="17">
        <f t="shared" si="0"/>
        <v>0.92834207201765073</v>
      </c>
      <c r="F40" s="23">
        <v>0</v>
      </c>
      <c r="G40" s="8">
        <f>SUM($F$36:F40)</f>
        <v>0</v>
      </c>
      <c r="H40" s="17">
        <f t="shared" si="1"/>
        <v>0</v>
      </c>
      <c r="I40" s="8">
        <f t="shared" si="2"/>
        <v>-38865.57</v>
      </c>
      <c r="J40" s="10">
        <f t="shared" si="2"/>
        <v>-0.92834207201765073</v>
      </c>
      <c r="K40" s="14" t="str">
        <f t="shared" si="3"/>
        <v>Atrasado</v>
      </c>
      <c r="L40" s="16"/>
      <c r="M40" s="17" t="e">
        <f>IF(TabelaCurvaS567[[#This Row],[Avanço fabricado (%)]]&gt;=TabelaCurvaS567[[#This Row],[Avanço planejado (%)]],TabelaCurvaS567[[#This Row],[Avanço fabricado (%)]],NA())</f>
        <v>#N/A</v>
      </c>
      <c r="N40" s="17">
        <f>IF(TabelaCurvaS567[[#This Row],[Avanço fabricado (%)]]&lt;TabelaCurvaS567[[#This Row],[Avanço planejado (%)]],TabelaCurvaS567[[#This Row],[Avanço fabricado (%)]],NA())</f>
        <v>0</v>
      </c>
    </row>
    <row r="41" spans="1:14">
      <c r="A41" s="6">
        <v>6</v>
      </c>
      <c r="B41" s="15">
        <v>46347</v>
      </c>
      <c r="C41" s="22">
        <v>3000</v>
      </c>
      <c r="D41" s="8">
        <f>SUM($C$36:C41)</f>
        <v>41865.57</v>
      </c>
      <c r="E41" s="17">
        <f t="shared" si="0"/>
        <v>1</v>
      </c>
      <c r="F41" s="23"/>
      <c r="G41" s="8">
        <f>SUM($F$36:F41)</f>
        <v>0</v>
      </c>
      <c r="H41" s="17">
        <f t="shared" si="1"/>
        <v>0</v>
      </c>
      <c r="I41" s="8">
        <f t="shared" si="2"/>
        <v>-41865.57</v>
      </c>
      <c r="J41" s="10">
        <f t="shared" si="2"/>
        <v>-1</v>
      </c>
      <c r="K41" s="14" t="str">
        <f t="shared" si="3"/>
        <v>Atrasado</v>
      </c>
      <c r="L41" s="16"/>
      <c r="M41" s="17" t="e">
        <f>IF(TabelaCurvaS567[[#This Row],[Avanço fabricado (%)]]&gt;=TabelaCurvaS567[[#This Row],[Avanço planejado (%)]],TabelaCurvaS567[[#This Row],[Avanço fabricado (%)]],NA())</f>
        <v>#N/A</v>
      </c>
      <c r="N41" s="17">
        <f>IF(TabelaCurvaS567[[#This Row],[Avanço fabricado (%)]]&lt;TabelaCurvaS567[[#This Row],[Avanço planejado (%)]],TabelaCurvaS567[[#This Row],[Avanço fabricado (%)]],NA())</f>
        <v>0</v>
      </c>
    </row>
    <row r="44" spans="1:14">
      <c r="D44" s="12"/>
    </row>
    <row r="53" spans="8:8">
      <c r="H53" s="16"/>
    </row>
  </sheetData>
  <dataConsolidate/>
  <mergeCells count="1">
    <mergeCell ref="A25:K25"/>
  </mergeCells>
  <conditionalFormatting sqref="K36:K41">
    <cfRule type="expression" dxfId="62" priority="1">
      <formula>K36="Atrasado"</formula>
    </cfRule>
    <cfRule type="expression" dxfId="61" priority="2">
      <formula>K36="No prazo"</formula>
    </cfRule>
  </conditionalFormatting>
  <conditionalFormatting sqref="J36:J41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{55D2C9CE-037A-4C1D-8345-C4753C3CF3BA}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D2C9CE-037A-4C1D-8345-C4753C3CF3BA}">
            <x14:dataBar>
              <x14:cfvo type="min"/>
              <x14:cfvo type="max"/>
              <x14:negativeFillColor auto="1"/>
              <x14:axisColor auto="1"/>
            </x14:dataBar>
          </x14:cfRule>
          <xm:sqref>J36:J41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8DD6-936C-4095-8E22-149A831A4175}">
  <dimension ref="A2:O53"/>
  <sheetViews>
    <sheetView zoomScaleNormal="100" workbookViewId="0">
      <selection activeCell="M13" sqref="M13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e">
        <f ca="1">TEXT(INDEX(E:E, MATCH(TODAY(), B:B, 0)), "0,00%")</f>
        <v>#N/A</v>
      </c>
    </row>
    <row r="4" spans="13:13">
      <c r="M4" s="5" t="e">
        <f ca="1">TEXT(INDEX(J:J, MATCH(TODAY(), B:B, 0)), "0,00%")</f>
        <v>#N/A</v>
      </c>
    </row>
    <row r="25" spans="1:15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5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5">
      <c r="A28" s="11" t="s">
        <v>5</v>
      </c>
      <c r="B28" s="11"/>
      <c r="C28" s="11"/>
      <c r="D28" s="12">
        <f>SUM(TabelaCurvaS5678[Peso planejado Semanal (kg)])</f>
        <v>56257.25</v>
      </c>
      <c r="E28" s="5" t="s">
        <v>6</v>
      </c>
      <c r="F28" s="5" t="s">
        <v>7</v>
      </c>
      <c r="N28" s="16"/>
      <c r="O28" s="24"/>
    </row>
    <row r="29" spans="1:15">
      <c r="A29" s="11" t="s">
        <v>8</v>
      </c>
      <c r="B29" s="11"/>
      <c r="C29" s="11"/>
      <c r="D29" s="12">
        <v>0</v>
      </c>
      <c r="E29" s="5" t="s">
        <v>6</v>
      </c>
      <c r="F29" s="5" t="s">
        <v>9</v>
      </c>
      <c r="N29" s="16"/>
      <c r="O29" s="24"/>
    </row>
    <row r="30" spans="1:15">
      <c r="A30" s="11" t="s">
        <v>10</v>
      </c>
      <c r="B30" s="11"/>
      <c r="C30" s="11"/>
      <c r="D30" s="13">
        <f>D29/D28</f>
        <v>0</v>
      </c>
      <c r="E30" s="5" t="s">
        <v>11</v>
      </c>
      <c r="F30" s="5" t="s">
        <v>12</v>
      </c>
      <c r="N30" s="16"/>
      <c r="O30" s="24"/>
    </row>
    <row r="31" spans="1:15">
      <c r="A31" s="11" t="s">
        <v>13</v>
      </c>
      <c r="B31" s="11"/>
      <c r="C31" s="11"/>
      <c r="D31" s="14" t="s">
        <v>36</v>
      </c>
      <c r="E31" s="5" t="s">
        <v>15</v>
      </c>
      <c r="F31" s="5" t="s">
        <v>16</v>
      </c>
      <c r="N31" s="16"/>
      <c r="O31" s="24"/>
    </row>
    <row r="32" spans="1:15">
      <c r="A32" s="11" t="s">
        <v>17</v>
      </c>
      <c r="B32" s="11"/>
      <c r="C32" s="11"/>
      <c r="D32" s="12">
        <f>D28/5</f>
        <v>11251.45</v>
      </c>
      <c r="E32" s="5" t="s">
        <v>37</v>
      </c>
      <c r="F32" s="5" t="s">
        <v>19</v>
      </c>
      <c r="I32" s="16"/>
      <c r="N32" s="16"/>
      <c r="O32" s="24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38</v>
      </c>
      <c r="B35" s="19" t="s">
        <v>39</v>
      </c>
      <c r="C35" s="19" t="s">
        <v>40</v>
      </c>
      <c r="D35" s="19" t="s">
        <v>26</v>
      </c>
      <c r="E35" s="19" t="s">
        <v>27</v>
      </c>
      <c r="F35" s="19" t="s">
        <v>41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46312</v>
      </c>
      <c r="C36" s="24">
        <v>6251.45</v>
      </c>
      <c r="D36" s="8">
        <f>SUM($C$36:C36)</f>
        <v>6251.45</v>
      </c>
      <c r="E36" s="17">
        <f t="shared" ref="E36:E41" si="0">D36/$D$28</f>
        <v>0.11112256642477192</v>
      </c>
      <c r="F36" s="23"/>
      <c r="G36" s="8">
        <f>SUM($F$36:F36)</f>
        <v>0</v>
      </c>
      <c r="H36" s="17">
        <f t="shared" ref="H36:H41" si="1">G36/$D$28</f>
        <v>0</v>
      </c>
      <c r="I36" s="8">
        <f t="shared" ref="I36:J41" si="2">G36-D36</f>
        <v>-6251.45</v>
      </c>
      <c r="J36" s="10">
        <f t="shared" si="2"/>
        <v>-0.11112256642477192</v>
      </c>
      <c r="K36" s="14" t="str">
        <f t="shared" ref="K36:K41" si="3">IF(H36&gt;=E36,"No prazo","Atrasado")</f>
        <v>Atrasado</v>
      </c>
      <c r="L36" s="16"/>
      <c r="M36" s="17" t="e">
        <f>IF(TabelaCurvaS5678[[#This Row],[Avanço fabricado (%)]]&gt;=TabelaCurvaS5678[[#This Row],[Avanço planejado (%)]],TabelaCurvaS5678[[#This Row],[Avanço fabricado (%)]],NA())</f>
        <v>#N/A</v>
      </c>
      <c r="N36" s="17">
        <f>IF(TabelaCurvaS5678[[#This Row],[Avanço fabricado (%)]]&lt;TabelaCurvaS5678[[#This Row],[Avanço planejado (%)]],TabelaCurvaS5678[[#This Row],[Avanço fabricado (%)]],NA())</f>
        <v>0</v>
      </c>
    </row>
    <row r="37" spans="1:14">
      <c r="A37" s="6">
        <v>2</v>
      </c>
      <c r="B37" s="15">
        <v>46319</v>
      </c>
      <c r="C37" s="24">
        <v>11251.45</v>
      </c>
      <c r="D37" s="8">
        <f>SUM($C$36:C37)</f>
        <v>17502.900000000001</v>
      </c>
      <c r="E37" s="17">
        <f t="shared" si="0"/>
        <v>0.31112256642477193</v>
      </c>
      <c r="F37" s="23"/>
      <c r="G37" s="8">
        <f>SUM($F$36:F37)</f>
        <v>0</v>
      </c>
      <c r="H37" s="17">
        <f t="shared" si="1"/>
        <v>0</v>
      </c>
      <c r="I37" s="8">
        <f t="shared" si="2"/>
        <v>-17502.900000000001</v>
      </c>
      <c r="J37" s="10">
        <f t="shared" si="2"/>
        <v>-0.31112256642477193</v>
      </c>
      <c r="K37" s="14" t="str">
        <f t="shared" si="3"/>
        <v>Atrasado</v>
      </c>
      <c r="L37" s="16"/>
      <c r="M37" s="17" t="e">
        <f>IF(TabelaCurvaS5678[[#This Row],[Avanço fabricado (%)]]&gt;=TabelaCurvaS5678[[#This Row],[Avanço planejado (%)]],TabelaCurvaS5678[[#This Row],[Avanço fabricado (%)]],NA())</f>
        <v>#N/A</v>
      </c>
      <c r="N37" s="17">
        <f>IF(TabelaCurvaS5678[[#This Row],[Avanço fabricado (%)]]&lt;TabelaCurvaS5678[[#This Row],[Avanço planejado (%)]],TabelaCurvaS5678[[#This Row],[Avanço fabricado (%)]],NA())</f>
        <v>0</v>
      </c>
    </row>
    <row r="38" spans="1:14">
      <c r="A38" s="6">
        <v>3</v>
      </c>
      <c r="B38" s="15">
        <v>46326</v>
      </c>
      <c r="C38" s="24">
        <v>11251.45</v>
      </c>
      <c r="D38" s="8">
        <f>SUM($C$36:C38)</f>
        <v>28754.350000000002</v>
      </c>
      <c r="E38" s="17">
        <f t="shared" si="0"/>
        <v>0.51112256642477194</v>
      </c>
      <c r="F38" s="23"/>
      <c r="G38" s="8">
        <f>SUM($F$36:F38)</f>
        <v>0</v>
      </c>
      <c r="H38" s="17">
        <f t="shared" si="1"/>
        <v>0</v>
      </c>
      <c r="I38" s="8">
        <f t="shared" si="2"/>
        <v>-28754.350000000002</v>
      </c>
      <c r="J38" s="10">
        <f t="shared" si="2"/>
        <v>-0.51112256642477194</v>
      </c>
      <c r="K38" s="14" t="str">
        <f t="shared" si="3"/>
        <v>Atrasado</v>
      </c>
      <c r="L38" s="16"/>
      <c r="M38" s="17" t="e">
        <f>IF(TabelaCurvaS5678[[#This Row],[Avanço fabricado (%)]]&gt;=TabelaCurvaS5678[[#This Row],[Avanço planejado (%)]],TabelaCurvaS5678[[#This Row],[Avanço fabricado (%)]],NA())</f>
        <v>#N/A</v>
      </c>
      <c r="N38" s="17">
        <f>IF(TabelaCurvaS5678[[#This Row],[Avanço fabricado (%)]]&lt;TabelaCurvaS5678[[#This Row],[Avanço planejado (%)]],TabelaCurvaS5678[[#This Row],[Avanço fabricado (%)]],NA())</f>
        <v>0</v>
      </c>
    </row>
    <row r="39" spans="1:14">
      <c r="A39" s="6">
        <v>4</v>
      </c>
      <c r="B39" s="15">
        <v>46333</v>
      </c>
      <c r="C39" s="24">
        <v>11251.45</v>
      </c>
      <c r="D39" s="8">
        <f>SUM($C$36:C39)</f>
        <v>40005.800000000003</v>
      </c>
      <c r="E39" s="17">
        <f t="shared" si="0"/>
        <v>0.71112256642477201</v>
      </c>
      <c r="F39" s="23"/>
      <c r="G39" s="8">
        <f>SUM($F$36:F39)</f>
        <v>0</v>
      </c>
      <c r="H39" s="17">
        <f t="shared" si="1"/>
        <v>0</v>
      </c>
      <c r="I39" s="8">
        <f t="shared" si="2"/>
        <v>-40005.800000000003</v>
      </c>
      <c r="J39" s="10">
        <f t="shared" si="2"/>
        <v>-0.71112256642477201</v>
      </c>
      <c r="K39" s="14" t="str">
        <f t="shared" si="3"/>
        <v>Atrasado</v>
      </c>
      <c r="L39" s="16"/>
      <c r="M39" s="17" t="e">
        <f>IF(TabelaCurvaS5678[[#This Row],[Avanço fabricado (%)]]&gt;=TabelaCurvaS5678[[#This Row],[Avanço planejado (%)]],TabelaCurvaS5678[[#This Row],[Avanço fabricado (%)]],NA())</f>
        <v>#N/A</v>
      </c>
      <c r="N39" s="17">
        <f>IF(TabelaCurvaS5678[[#This Row],[Avanço fabricado (%)]]&lt;TabelaCurvaS5678[[#This Row],[Avanço planejado (%)]],TabelaCurvaS5678[[#This Row],[Avanço fabricado (%)]],NA())</f>
        <v>0</v>
      </c>
    </row>
    <row r="40" spans="1:14">
      <c r="A40" s="6">
        <v>5</v>
      </c>
      <c r="B40" s="15">
        <v>46340</v>
      </c>
      <c r="C40" s="24">
        <v>11251.45</v>
      </c>
      <c r="D40" s="8">
        <f>SUM($C$36:C40)</f>
        <v>51257.25</v>
      </c>
      <c r="E40" s="17">
        <f t="shared" si="0"/>
        <v>0.91112256642477196</v>
      </c>
      <c r="F40" s="23"/>
      <c r="G40" s="8">
        <f>SUM($F$36:F40)</f>
        <v>0</v>
      </c>
      <c r="H40" s="17">
        <f t="shared" si="1"/>
        <v>0</v>
      </c>
      <c r="I40" s="8">
        <f t="shared" si="2"/>
        <v>-51257.25</v>
      </c>
      <c r="J40" s="10">
        <f t="shared" si="2"/>
        <v>-0.91112256642477196</v>
      </c>
      <c r="K40" s="14" t="str">
        <f t="shared" si="3"/>
        <v>Atrasado</v>
      </c>
      <c r="L40" s="16"/>
      <c r="M40" s="17" t="e">
        <f>IF(TabelaCurvaS5678[[#This Row],[Avanço fabricado (%)]]&gt;=TabelaCurvaS5678[[#This Row],[Avanço planejado (%)]],TabelaCurvaS5678[[#This Row],[Avanço fabricado (%)]],NA())</f>
        <v>#N/A</v>
      </c>
      <c r="N40" s="17">
        <f>IF(TabelaCurvaS5678[[#This Row],[Avanço fabricado (%)]]&lt;TabelaCurvaS5678[[#This Row],[Avanço planejado (%)]],TabelaCurvaS5678[[#This Row],[Avanço fabricado (%)]],NA())</f>
        <v>0</v>
      </c>
    </row>
    <row r="41" spans="1:14">
      <c r="A41" s="6">
        <v>6</v>
      </c>
      <c r="B41" s="15">
        <v>46347</v>
      </c>
      <c r="C41" s="22">
        <v>5000</v>
      </c>
      <c r="D41" s="8">
        <f>SUM($C$36:C41)</f>
        <v>56257.25</v>
      </c>
      <c r="E41" s="17">
        <f t="shared" si="0"/>
        <v>1</v>
      </c>
      <c r="F41" s="23"/>
      <c r="G41" s="8">
        <f>SUM($F$36:F41)</f>
        <v>0</v>
      </c>
      <c r="H41" s="17">
        <f t="shared" si="1"/>
        <v>0</v>
      </c>
      <c r="I41" s="8">
        <f t="shared" si="2"/>
        <v>-56257.25</v>
      </c>
      <c r="J41" s="10">
        <f t="shared" si="2"/>
        <v>-1</v>
      </c>
      <c r="K41" s="14" t="str">
        <f t="shared" si="3"/>
        <v>Atrasado</v>
      </c>
      <c r="L41" s="16"/>
      <c r="M41" s="17" t="e">
        <f>IF(TabelaCurvaS5678[[#This Row],[Avanço fabricado (%)]]&gt;=TabelaCurvaS5678[[#This Row],[Avanço planejado (%)]],TabelaCurvaS5678[[#This Row],[Avanço fabricado (%)]],NA())</f>
        <v>#N/A</v>
      </c>
      <c r="N41" s="17">
        <f>IF(TabelaCurvaS5678[[#This Row],[Avanço fabricado (%)]]&lt;TabelaCurvaS5678[[#This Row],[Avanço planejado (%)]],TabelaCurvaS5678[[#This Row],[Avanço fabricado (%)]],NA())</f>
        <v>0</v>
      </c>
    </row>
    <row r="44" spans="1:14">
      <c r="D44" s="12"/>
    </row>
    <row r="53" spans="8:8">
      <c r="H53" s="16"/>
    </row>
  </sheetData>
  <dataConsolidate/>
  <mergeCells count="1">
    <mergeCell ref="A25:K25"/>
  </mergeCells>
  <conditionalFormatting sqref="K36:K41">
    <cfRule type="expression" dxfId="46" priority="1">
      <formula>K36="Atrasado"</formula>
    </cfRule>
    <cfRule type="expression" dxfId="45" priority="2">
      <formula>K36="No prazo"</formula>
    </cfRule>
  </conditionalFormatting>
  <conditionalFormatting sqref="J36:J41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{9E302E1F-FBBC-4154-A876-87BD1C3AC14A}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302E1F-FBBC-4154-A876-87BD1C3AC14A}">
            <x14:dataBar>
              <x14:cfvo type="min"/>
              <x14:cfvo type="max"/>
              <x14:negativeFillColor auto="1"/>
              <x14:axisColor auto="1"/>
            </x14:dataBar>
          </x14:cfRule>
          <xm:sqref>J36:J41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C005-1B87-4B71-B2FE-841107711063}">
  <dimension ref="A2:O53"/>
  <sheetViews>
    <sheetView zoomScaleNormal="100" workbookViewId="0">
      <selection activeCell="L11" sqref="L11"/>
    </sheetView>
  </sheetViews>
  <sheetFormatPr defaultColWidth="8.75" defaultRowHeight="10.15"/>
  <cols>
    <col min="1" max="1" width="8" style="5" customWidth="1"/>
    <col min="2" max="3" width="12" style="5" customWidth="1"/>
    <col min="4" max="4" width="13.5" style="5" customWidth="1"/>
    <col min="5" max="5" width="14.75" style="5" customWidth="1"/>
    <col min="6" max="6" width="12.75" style="5" customWidth="1"/>
    <col min="7" max="7" width="14.25" style="5" customWidth="1"/>
    <col min="8" max="8" width="10.25" style="17" customWidth="1"/>
    <col min="9" max="9" width="10" style="5" customWidth="1"/>
    <col min="10" max="10" width="9.875" style="5" customWidth="1"/>
    <col min="11" max="11" width="12" style="5" customWidth="1"/>
    <col min="12" max="12" width="10.375" style="5" bestFit="1" customWidth="1"/>
    <col min="13" max="16384" width="8.75" style="5"/>
  </cols>
  <sheetData>
    <row r="2" spans="13:13">
      <c r="M2" s="5" t="e">
        <f ca="1">TEXT(INDEX(E:E, MATCH(TODAY(), B:B, 0)), "0,00%")</f>
        <v>#N/A</v>
      </c>
    </row>
    <row r="4" spans="13:13">
      <c r="M4" s="5" t="e">
        <f ca="1">TEXT(INDEX(J:J, MATCH(TODAY(), B:B, 0)), "0,00%")</f>
        <v>#N/A</v>
      </c>
    </row>
    <row r="25" spans="1:15" ht="22.35" customHeight="1">
      <c r="A25" s="25" t="s">
        <v>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7" spans="1:15">
      <c r="A27" s="18" t="s">
        <v>1</v>
      </c>
      <c r="B27" s="18"/>
      <c r="C27" s="18"/>
      <c r="D27" s="18" t="s">
        <v>2</v>
      </c>
      <c r="E27" s="18" t="s">
        <v>3</v>
      </c>
      <c r="F27" s="18" t="s">
        <v>4</v>
      </c>
    </row>
    <row r="28" spans="1:15">
      <c r="A28" s="11" t="s">
        <v>5</v>
      </c>
      <c r="B28" s="11"/>
      <c r="C28" s="11"/>
      <c r="D28" s="12">
        <f>SUM(TabelaCurvaS56789[Peso planejado Semanal (kg)])</f>
        <v>65222.22</v>
      </c>
      <c r="E28" s="5" t="s">
        <v>6</v>
      </c>
      <c r="F28" s="5" t="s">
        <v>7</v>
      </c>
      <c r="N28" s="16"/>
      <c r="O28" s="24"/>
    </row>
    <row r="29" spans="1:15">
      <c r="A29" s="11" t="s">
        <v>8</v>
      </c>
      <c r="B29" s="11"/>
      <c r="C29" s="11"/>
      <c r="D29" s="12">
        <v>0</v>
      </c>
      <c r="E29" s="5" t="s">
        <v>6</v>
      </c>
      <c r="F29" s="5" t="s">
        <v>9</v>
      </c>
      <c r="N29" s="16"/>
      <c r="O29" s="24"/>
    </row>
    <row r="30" spans="1:15">
      <c r="A30" s="11" t="s">
        <v>10</v>
      </c>
      <c r="B30" s="11"/>
      <c r="C30" s="11"/>
      <c r="D30" s="13">
        <f>D29/D28</f>
        <v>0</v>
      </c>
      <c r="E30" s="5" t="s">
        <v>11</v>
      </c>
      <c r="F30" s="5" t="s">
        <v>12</v>
      </c>
      <c r="N30" s="16"/>
      <c r="O30" s="24"/>
    </row>
    <row r="31" spans="1:15">
      <c r="A31" s="11" t="s">
        <v>13</v>
      </c>
      <c r="B31" s="11"/>
      <c r="C31" s="11"/>
      <c r="D31" s="14" t="s">
        <v>36</v>
      </c>
      <c r="E31" s="5" t="s">
        <v>15</v>
      </c>
      <c r="F31" s="5" t="s">
        <v>16</v>
      </c>
      <c r="N31" s="16"/>
      <c r="O31" s="24"/>
    </row>
    <row r="32" spans="1:15">
      <c r="A32" s="11" t="s">
        <v>17</v>
      </c>
      <c r="B32" s="11"/>
      <c r="C32" s="11"/>
      <c r="D32" s="12">
        <f>D28/5</f>
        <v>13044.444</v>
      </c>
      <c r="E32" s="5" t="s">
        <v>37</v>
      </c>
      <c r="F32" s="5" t="s">
        <v>19</v>
      </c>
      <c r="I32" s="16"/>
      <c r="N32" s="16"/>
      <c r="O32" s="24"/>
    </row>
    <row r="33" spans="1:14">
      <c r="A33" s="11" t="s">
        <v>20</v>
      </c>
      <c r="B33" s="11"/>
      <c r="C33" s="11"/>
      <c r="D33" s="14" t="s">
        <v>21</v>
      </c>
      <c r="E33" s="5" t="s">
        <v>6</v>
      </c>
      <c r="F33" s="5" t="s">
        <v>22</v>
      </c>
    </row>
    <row r="35" spans="1:14" ht="28.9" customHeight="1">
      <c r="A35" s="19" t="s">
        <v>38</v>
      </c>
      <c r="B35" s="19" t="s">
        <v>39</v>
      </c>
      <c r="C35" s="19" t="s">
        <v>40</v>
      </c>
      <c r="D35" s="19" t="s">
        <v>26</v>
      </c>
      <c r="E35" s="19" t="s">
        <v>27</v>
      </c>
      <c r="F35" s="19" t="s">
        <v>41</v>
      </c>
      <c r="G35" s="19" t="s">
        <v>29</v>
      </c>
      <c r="H35" s="20" t="s">
        <v>30</v>
      </c>
      <c r="I35" s="19" t="s">
        <v>31</v>
      </c>
      <c r="J35" s="19" t="s">
        <v>32</v>
      </c>
      <c r="K35" s="19" t="s">
        <v>33</v>
      </c>
      <c r="M35" s="5" t="s">
        <v>34</v>
      </c>
      <c r="N35" s="5" t="s">
        <v>35</v>
      </c>
    </row>
    <row r="36" spans="1:14">
      <c r="A36" s="6">
        <v>1</v>
      </c>
      <c r="B36" s="15">
        <v>46312</v>
      </c>
      <c r="C36" s="24">
        <v>7044.4440000000004</v>
      </c>
      <c r="D36" s="8">
        <f>SUM($C$36:C36)</f>
        <v>7044.4440000000004</v>
      </c>
      <c r="E36" s="17">
        <f t="shared" ref="E36:E41" si="0">D36/$D$28</f>
        <v>0.10800681117570056</v>
      </c>
      <c r="F36" s="23"/>
      <c r="G36" s="8">
        <f>SUM($F$36:F36)</f>
        <v>0</v>
      </c>
      <c r="H36" s="17">
        <f t="shared" ref="H36:H41" si="1">G36/$D$28</f>
        <v>0</v>
      </c>
      <c r="I36" s="8">
        <f t="shared" ref="I36:J41" si="2">G36-D36</f>
        <v>-7044.4440000000004</v>
      </c>
      <c r="J36" s="10">
        <f t="shared" si="2"/>
        <v>-0.10800681117570056</v>
      </c>
      <c r="K36" s="14" t="str">
        <f t="shared" ref="K36:K41" si="3">IF(H36&gt;=E36,"No prazo","Atrasado")</f>
        <v>Atrasado</v>
      </c>
      <c r="L36" s="16"/>
      <c r="M36" s="17" t="e">
        <f>IF(TabelaCurvaS56789[[#This Row],[Avanço fabricado (%)]]&gt;=TabelaCurvaS56789[[#This Row],[Avanço planejado (%)]],TabelaCurvaS56789[[#This Row],[Avanço fabricado (%)]],NA())</f>
        <v>#N/A</v>
      </c>
      <c r="N36" s="17">
        <f>IF(TabelaCurvaS56789[[#This Row],[Avanço fabricado (%)]]&lt;TabelaCurvaS56789[[#This Row],[Avanço planejado (%)]],TabelaCurvaS56789[[#This Row],[Avanço fabricado (%)]],NA())</f>
        <v>0</v>
      </c>
    </row>
    <row r="37" spans="1:14">
      <c r="A37" s="6">
        <v>2</v>
      </c>
      <c r="B37" s="15">
        <v>46319</v>
      </c>
      <c r="C37" s="24">
        <v>13044.444</v>
      </c>
      <c r="D37" s="8">
        <f>SUM($C$36:C37)</f>
        <v>20088.887999999999</v>
      </c>
      <c r="E37" s="17">
        <f t="shared" si="0"/>
        <v>0.30800681117570056</v>
      </c>
      <c r="F37" s="23"/>
      <c r="G37" s="8">
        <f>SUM($F$36:F37)</f>
        <v>0</v>
      </c>
      <c r="H37" s="17">
        <f t="shared" si="1"/>
        <v>0</v>
      </c>
      <c r="I37" s="8">
        <f t="shared" si="2"/>
        <v>-20088.887999999999</v>
      </c>
      <c r="J37" s="10">
        <f t="shared" si="2"/>
        <v>-0.30800681117570056</v>
      </c>
      <c r="K37" s="14" t="str">
        <f t="shared" si="3"/>
        <v>Atrasado</v>
      </c>
      <c r="L37" s="16"/>
      <c r="M37" s="17" t="e">
        <f>IF(TabelaCurvaS56789[[#This Row],[Avanço fabricado (%)]]&gt;=TabelaCurvaS56789[[#This Row],[Avanço planejado (%)]],TabelaCurvaS56789[[#This Row],[Avanço fabricado (%)]],NA())</f>
        <v>#N/A</v>
      </c>
      <c r="N37" s="17">
        <f>IF(TabelaCurvaS56789[[#This Row],[Avanço fabricado (%)]]&lt;TabelaCurvaS56789[[#This Row],[Avanço planejado (%)]],TabelaCurvaS56789[[#This Row],[Avanço fabricado (%)]],NA())</f>
        <v>0</v>
      </c>
    </row>
    <row r="38" spans="1:14">
      <c r="A38" s="6">
        <v>3</v>
      </c>
      <c r="B38" s="15">
        <v>46326</v>
      </c>
      <c r="C38" s="24">
        <v>13044.444</v>
      </c>
      <c r="D38" s="8">
        <f>SUM($C$36:C38)</f>
        <v>33133.331999999995</v>
      </c>
      <c r="E38" s="17">
        <f t="shared" si="0"/>
        <v>0.50800681117570046</v>
      </c>
      <c r="F38" s="23"/>
      <c r="G38" s="8">
        <f>SUM($F$36:F38)</f>
        <v>0</v>
      </c>
      <c r="H38" s="17">
        <f t="shared" si="1"/>
        <v>0</v>
      </c>
      <c r="I38" s="8">
        <f t="shared" si="2"/>
        <v>-33133.331999999995</v>
      </c>
      <c r="J38" s="10">
        <f t="shared" si="2"/>
        <v>-0.50800681117570046</v>
      </c>
      <c r="K38" s="14" t="str">
        <f t="shared" si="3"/>
        <v>Atrasado</v>
      </c>
      <c r="L38" s="16"/>
      <c r="M38" s="17" t="e">
        <f>IF(TabelaCurvaS56789[[#This Row],[Avanço fabricado (%)]]&gt;=TabelaCurvaS56789[[#This Row],[Avanço planejado (%)]],TabelaCurvaS56789[[#This Row],[Avanço fabricado (%)]],NA())</f>
        <v>#N/A</v>
      </c>
      <c r="N38" s="17">
        <f>IF(TabelaCurvaS56789[[#This Row],[Avanço fabricado (%)]]&lt;TabelaCurvaS56789[[#This Row],[Avanço planejado (%)]],TabelaCurvaS56789[[#This Row],[Avanço fabricado (%)]],NA())</f>
        <v>0</v>
      </c>
    </row>
    <row r="39" spans="1:14">
      <c r="A39" s="6">
        <v>4</v>
      </c>
      <c r="B39" s="15">
        <v>46333</v>
      </c>
      <c r="C39" s="24">
        <v>13044.444</v>
      </c>
      <c r="D39" s="8">
        <f>SUM($C$36:C39)</f>
        <v>46177.775999999998</v>
      </c>
      <c r="E39" s="17">
        <f t="shared" si="0"/>
        <v>0.70800681117570052</v>
      </c>
      <c r="F39" s="23"/>
      <c r="G39" s="8">
        <f>SUM($F$36:F39)</f>
        <v>0</v>
      </c>
      <c r="H39" s="17">
        <f t="shared" si="1"/>
        <v>0</v>
      </c>
      <c r="I39" s="8">
        <f t="shared" si="2"/>
        <v>-46177.775999999998</v>
      </c>
      <c r="J39" s="10">
        <f t="shared" si="2"/>
        <v>-0.70800681117570052</v>
      </c>
      <c r="K39" s="14" t="str">
        <f t="shared" si="3"/>
        <v>Atrasado</v>
      </c>
      <c r="L39" s="16"/>
      <c r="M39" s="17" t="e">
        <f>IF(TabelaCurvaS56789[[#This Row],[Avanço fabricado (%)]]&gt;=TabelaCurvaS56789[[#This Row],[Avanço planejado (%)]],TabelaCurvaS56789[[#This Row],[Avanço fabricado (%)]],NA())</f>
        <v>#N/A</v>
      </c>
      <c r="N39" s="17">
        <f>IF(TabelaCurvaS56789[[#This Row],[Avanço fabricado (%)]]&lt;TabelaCurvaS56789[[#This Row],[Avanço planejado (%)]],TabelaCurvaS56789[[#This Row],[Avanço fabricado (%)]],NA())</f>
        <v>0</v>
      </c>
    </row>
    <row r="40" spans="1:14">
      <c r="A40" s="6">
        <v>5</v>
      </c>
      <c r="B40" s="15">
        <v>46340</v>
      </c>
      <c r="C40" s="24">
        <v>13044.444</v>
      </c>
      <c r="D40" s="8">
        <f>SUM($C$36:C40)</f>
        <v>59222.22</v>
      </c>
      <c r="E40" s="17">
        <f t="shared" si="0"/>
        <v>0.90800681117570059</v>
      </c>
      <c r="F40" s="23"/>
      <c r="G40" s="8">
        <f>SUM($F$36:F40)</f>
        <v>0</v>
      </c>
      <c r="H40" s="17">
        <f t="shared" si="1"/>
        <v>0</v>
      </c>
      <c r="I40" s="8">
        <f t="shared" si="2"/>
        <v>-59222.22</v>
      </c>
      <c r="J40" s="10">
        <f t="shared" si="2"/>
        <v>-0.90800681117570059</v>
      </c>
      <c r="K40" s="14" t="str">
        <f t="shared" si="3"/>
        <v>Atrasado</v>
      </c>
      <c r="L40" s="16"/>
      <c r="M40" s="17" t="e">
        <f>IF(TabelaCurvaS56789[[#This Row],[Avanço fabricado (%)]]&gt;=TabelaCurvaS56789[[#This Row],[Avanço planejado (%)]],TabelaCurvaS56789[[#This Row],[Avanço fabricado (%)]],NA())</f>
        <v>#N/A</v>
      </c>
      <c r="N40" s="17">
        <f>IF(TabelaCurvaS56789[[#This Row],[Avanço fabricado (%)]]&lt;TabelaCurvaS56789[[#This Row],[Avanço planejado (%)]],TabelaCurvaS56789[[#This Row],[Avanço fabricado (%)]],NA())</f>
        <v>0</v>
      </c>
    </row>
    <row r="41" spans="1:14">
      <c r="A41" s="6">
        <v>6</v>
      </c>
      <c r="B41" s="15">
        <v>46347</v>
      </c>
      <c r="C41" s="22">
        <v>6000</v>
      </c>
      <c r="D41" s="8">
        <f>SUM($C$36:C41)</f>
        <v>65222.22</v>
      </c>
      <c r="E41" s="17">
        <f t="shared" si="0"/>
        <v>1</v>
      </c>
      <c r="F41" s="23"/>
      <c r="G41" s="8">
        <f>SUM($F$36:F41)</f>
        <v>0</v>
      </c>
      <c r="H41" s="17">
        <f t="shared" si="1"/>
        <v>0</v>
      </c>
      <c r="I41" s="8">
        <f t="shared" si="2"/>
        <v>-65222.22</v>
      </c>
      <c r="J41" s="10">
        <f t="shared" si="2"/>
        <v>-1</v>
      </c>
      <c r="K41" s="14" t="str">
        <f t="shared" si="3"/>
        <v>Atrasado</v>
      </c>
      <c r="L41" s="16"/>
      <c r="M41" s="17" t="e">
        <f>IF(TabelaCurvaS56789[[#This Row],[Avanço fabricado (%)]]&gt;=TabelaCurvaS56789[[#This Row],[Avanço planejado (%)]],TabelaCurvaS56789[[#This Row],[Avanço fabricado (%)]],NA())</f>
        <v>#N/A</v>
      </c>
      <c r="N41" s="17">
        <f>IF(TabelaCurvaS56789[[#This Row],[Avanço fabricado (%)]]&lt;TabelaCurvaS56789[[#This Row],[Avanço planejado (%)]],TabelaCurvaS56789[[#This Row],[Avanço fabricado (%)]],NA())</f>
        <v>0</v>
      </c>
    </row>
    <row r="44" spans="1:14">
      <c r="D44" s="12"/>
    </row>
    <row r="53" spans="8:8">
      <c r="H53" s="16"/>
    </row>
  </sheetData>
  <dataConsolidate/>
  <mergeCells count="1">
    <mergeCell ref="A25:K25"/>
  </mergeCells>
  <conditionalFormatting sqref="K36:K41">
    <cfRule type="expression" dxfId="30" priority="1">
      <formula>K36="Atrasado"</formula>
    </cfRule>
    <cfRule type="expression" dxfId="29" priority="2">
      <formula>K36="No prazo"</formula>
    </cfRule>
  </conditionalFormatting>
  <conditionalFormatting sqref="J36:J41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{A25A76A7-C8E5-4700-B615-25D54D06F31C}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A76A7-C8E5-4700-B615-25D54D06F31C}">
            <x14:dataBar>
              <x14:cfvo type="min"/>
              <x14:cfvo type="max"/>
              <x14:negativeFillColor auto="1"/>
              <x14:axisColor auto="1"/>
            </x14:dataBar>
          </x14:cfRule>
          <xm:sqref>J36:J41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8"/>
  <sheetViews>
    <sheetView topLeftCell="D1" zoomScale="130" zoomScaleNormal="130" workbookViewId="0">
      <selection activeCell="I11" sqref="I11"/>
    </sheetView>
  </sheetViews>
  <sheetFormatPr defaultColWidth="8.75" defaultRowHeight="10.15"/>
  <cols>
    <col min="1" max="1" width="7" style="5" customWidth="1"/>
    <col min="2" max="2" width="15" style="5" bestFit="1" customWidth="1"/>
    <col min="3" max="3" width="15.5" style="5" bestFit="1" customWidth="1"/>
    <col min="4" max="4" width="16.25" style="5" bestFit="1" customWidth="1"/>
    <col min="5" max="5" width="21.125" style="5" customWidth="1"/>
    <col min="6" max="6" width="10.75" style="5" customWidth="1"/>
    <col min="7" max="7" width="13" style="5" customWidth="1"/>
    <col min="8" max="8" width="12.375" style="5" customWidth="1"/>
    <col min="9" max="9" width="12.875" style="5" customWidth="1"/>
    <col min="10" max="10" width="10.125" style="5" customWidth="1"/>
    <col min="11" max="11" width="9.75" style="5" customWidth="1"/>
    <col min="12" max="12" width="19.75" style="5" customWidth="1"/>
    <col min="13" max="16384" width="8.75" style="5"/>
  </cols>
  <sheetData>
    <row r="1" spans="1:14" ht="25.7" customHeight="1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39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</row>
    <row r="2" spans="1:14">
      <c r="A2" s="6">
        <v>48</v>
      </c>
      <c r="B2" s="5" t="s">
        <v>53</v>
      </c>
      <c r="C2" s="5" t="s">
        <v>54</v>
      </c>
      <c r="D2" s="5" t="s">
        <v>55</v>
      </c>
      <c r="E2" s="5" t="s">
        <v>56</v>
      </c>
      <c r="F2" s="7">
        <v>46212.466666666667</v>
      </c>
      <c r="G2" s="7">
        <v>46212.560416666667</v>
      </c>
      <c r="H2" s="8">
        <v>498.8</v>
      </c>
      <c r="I2" s="9">
        <v>0</v>
      </c>
      <c r="J2" s="10">
        <f t="shared" ref="J2:J23" si="0">IF(H2=0,0,I2/H2)</f>
        <v>0</v>
      </c>
      <c r="K2" s="8">
        <v>0</v>
      </c>
      <c r="L2" s="5">
        <v>307</v>
      </c>
      <c r="N2" s="5">
        <f>TabelaBaseTarefas[[#This Row],[Linha Banco de Dados]]+2</f>
        <v>309</v>
      </c>
    </row>
    <row r="3" spans="1:14">
      <c r="A3" s="6">
        <v>49</v>
      </c>
      <c r="B3" s="5" t="s">
        <v>53</v>
      </c>
      <c r="C3" s="5" t="s">
        <v>57</v>
      </c>
      <c r="D3" s="5" t="s">
        <v>58</v>
      </c>
      <c r="E3" s="5" t="s">
        <v>59</v>
      </c>
      <c r="F3" s="7">
        <v>46212.560416666667</v>
      </c>
      <c r="G3" s="7">
        <v>46217.55</v>
      </c>
      <c r="H3" s="8">
        <f>9502/2</f>
        <v>4751</v>
      </c>
      <c r="I3" s="9">
        <v>4133.37</v>
      </c>
      <c r="J3" s="10">
        <f t="shared" si="0"/>
        <v>0.87</v>
      </c>
      <c r="K3" s="8">
        <v>0</v>
      </c>
      <c r="L3" s="5">
        <v>316</v>
      </c>
      <c r="N3" s="5">
        <f>TabelaBaseTarefas[[#This Row],[Linha Banco de Dados]]+2</f>
        <v>318</v>
      </c>
    </row>
    <row r="4" spans="1:14">
      <c r="A4" s="6">
        <v>50</v>
      </c>
      <c r="B4" s="5" t="s">
        <v>53</v>
      </c>
      <c r="C4" s="5" t="s">
        <v>57</v>
      </c>
      <c r="D4" s="5" t="s">
        <v>60</v>
      </c>
      <c r="E4" s="5" t="s">
        <v>61</v>
      </c>
      <c r="F4" s="7">
        <v>46217.55</v>
      </c>
      <c r="G4" s="7">
        <v>46217.556250000001</v>
      </c>
      <c r="H4" s="8">
        <f>62/2</f>
        <v>31</v>
      </c>
      <c r="I4" s="9">
        <v>27</v>
      </c>
      <c r="J4" s="10">
        <f t="shared" si="0"/>
        <v>0.87096774193548387</v>
      </c>
      <c r="K4" s="8">
        <v>0</v>
      </c>
      <c r="L4" s="5">
        <v>330</v>
      </c>
      <c r="N4" s="5">
        <f>TabelaBaseTarefas[[#This Row],[Linha Banco de Dados]]+2</f>
        <v>332</v>
      </c>
    </row>
    <row r="5" spans="1:14">
      <c r="A5" s="6">
        <v>51</v>
      </c>
      <c r="B5" s="5" t="s">
        <v>53</v>
      </c>
      <c r="C5" s="5" t="s">
        <v>57</v>
      </c>
      <c r="D5" s="5" t="s">
        <v>62</v>
      </c>
      <c r="E5" s="5" t="s">
        <v>63</v>
      </c>
      <c r="F5" s="7">
        <v>46217.556250000001</v>
      </c>
      <c r="G5" s="7">
        <v>46217.5625</v>
      </c>
      <c r="H5" s="8">
        <f>62/2</f>
        <v>31</v>
      </c>
      <c r="I5" s="9">
        <v>27</v>
      </c>
      <c r="J5" s="10">
        <f t="shared" si="0"/>
        <v>0.87096774193548387</v>
      </c>
      <c r="K5" s="8">
        <v>0</v>
      </c>
      <c r="L5" s="5">
        <v>331</v>
      </c>
      <c r="N5" s="5">
        <f>TabelaBaseTarefas[[#This Row],[Linha Banco de Dados]]+2</f>
        <v>333</v>
      </c>
    </row>
    <row r="6" spans="1:14">
      <c r="A6" s="6">
        <v>52</v>
      </c>
      <c r="B6" s="5" t="s">
        <v>53</v>
      </c>
      <c r="C6" s="5" t="s">
        <v>64</v>
      </c>
      <c r="D6" s="5" t="s">
        <v>65</v>
      </c>
      <c r="E6" s="5" t="s">
        <v>66</v>
      </c>
      <c r="F6" s="7">
        <v>46217.5625</v>
      </c>
      <c r="G6" s="7">
        <v>46219.635416666664</v>
      </c>
      <c r="H6" s="8">
        <f>7097/2</f>
        <v>3548.5</v>
      </c>
      <c r="I6" s="9">
        <v>2129.1</v>
      </c>
      <c r="J6" s="10">
        <f t="shared" si="0"/>
        <v>0.6</v>
      </c>
      <c r="K6" s="8">
        <v>0</v>
      </c>
      <c r="L6" s="5">
        <v>335</v>
      </c>
      <c r="N6" s="5">
        <f>TabelaBaseTarefas[[#This Row],[Linha Banco de Dados]]+2</f>
        <v>337</v>
      </c>
    </row>
    <row r="7" spans="1:14">
      <c r="A7" s="6">
        <v>53</v>
      </c>
      <c r="B7" s="5" t="s">
        <v>53</v>
      </c>
      <c r="C7" s="5" t="s">
        <v>67</v>
      </c>
      <c r="D7" s="5" t="s">
        <v>68</v>
      </c>
      <c r="E7" s="5" t="s">
        <v>69</v>
      </c>
      <c r="F7" s="7">
        <v>46219.635416666664</v>
      </c>
      <c r="G7" s="7">
        <v>46220.384722222225</v>
      </c>
      <c r="H7" s="8">
        <v>1194.7</v>
      </c>
      <c r="I7" s="9">
        <v>406.19799999999998</v>
      </c>
      <c r="J7" s="10">
        <f t="shared" si="0"/>
        <v>0.33999999999999997</v>
      </c>
      <c r="K7" s="8">
        <v>0</v>
      </c>
      <c r="L7" s="5">
        <v>349</v>
      </c>
      <c r="N7" s="5">
        <f>TabelaBaseTarefas[[#This Row],[Linha Banco de Dados]]+2</f>
        <v>351</v>
      </c>
    </row>
    <row r="8" spans="1:14">
      <c r="A8" s="6">
        <v>55</v>
      </c>
      <c r="B8" s="5" t="s">
        <v>53</v>
      </c>
      <c r="C8" s="5" t="s">
        <v>70</v>
      </c>
      <c r="D8" s="5" t="s">
        <v>71</v>
      </c>
      <c r="E8" s="5" t="s">
        <v>72</v>
      </c>
      <c r="F8" s="7">
        <v>46220.550694444442</v>
      </c>
      <c r="G8" s="7">
        <v>46225.499305555553</v>
      </c>
      <c r="H8" s="8">
        <v>9506.4</v>
      </c>
      <c r="I8" s="9">
        <v>2186.4720000000002</v>
      </c>
      <c r="J8" s="10">
        <f t="shared" si="0"/>
        <v>0.23000000000000004</v>
      </c>
      <c r="K8" s="8">
        <v>0</v>
      </c>
      <c r="L8" s="5">
        <v>371</v>
      </c>
      <c r="N8" s="5">
        <f>TabelaBaseTarefas[[#This Row],[Linha Banco de Dados]]+2</f>
        <v>373</v>
      </c>
    </row>
    <row r="9" spans="1:14">
      <c r="A9" s="6">
        <v>57</v>
      </c>
      <c r="B9" s="5" t="s">
        <v>53</v>
      </c>
      <c r="C9" s="5" t="s">
        <v>73</v>
      </c>
      <c r="D9" s="5" t="s">
        <v>74</v>
      </c>
      <c r="E9" s="5" t="s">
        <v>75</v>
      </c>
      <c r="F9" s="7">
        <v>46225.630555555559</v>
      </c>
      <c r="G9" s="7">
        <v>46226.345138888886</v>
      </c>
      <c r="H9" s="8">
        <v>856.9</v>
      </c>
      <c r="I9" s="9">
        <v>265.63900000000001</v>
      </c>
      <c r="J9" s="10">
        <f t="shared" si="0"/>
        <v>0.31</v>
      </c>
      <c r="K9" s="8">
        <v>0</v>
      </c>
      <c r="L9" s="5">
        <v>393</v>
      </c>
      <c r="N9" s="5">
        <f>TabelaBaseTarefas[[#This Row],[Linha Banco de Dados]]+2</f>
        <v>395</v>
      </c>
    </row>
    <row r="10" spans="1:14">
      <c r="A10" s="6">
        <v>59</v>
      </c>
      <c r="B10" s="5" t="s">
        <v>53</v>
      </c>
      <c r="C10" s="5" t="s">
        <v>76</v>
      </c>
      <c r="D10" s="5" t="s">
        <v>77</v>
      </c>
      <c r="E10" s="5" t="s">
        <v>78</v>
      </c>
      <c r="F10" s="7">
        <v>46227.368055555555</v>
      </c>
      <c r="G10" s="7">
        <v>46230.390972222223</v>
      </c>
      <c r="H10" s="8">
        <v>3419.2</v>
      </c>
      <c r="I10" s="9">
        <v>1333.4880000000001</v>
      </c>
      <c r="J10" s="10">
        <f t="shared" si="0"/>
        <v>0.39</v>
      </c>
      <c r="K10" s="8">
        <v>0</v>
      </c>
      <c r="L10" s="5">
        <v>415</v>
      </c>
      <c r="N10" s="5">
        <f>TabelaBaseTarefas[[#This Row],[Linha Banco de Dados]]+2</f>
        <v>417</v>
      </c>
    </row>
    <row r="11" spans="1:14">
      <c r="A11" s="6">
        <v>60</v>
      </c>
      <c r="B11" s="5" t="s">
        <v>53</v>
      </c>
      <c r="C11" s="5" t="s">
        <v>79</v>
      </c>
      <c r="D11" s="5" t="s">
        <v>80</v>
      </c>
      <c r="E11" s="5" t="s">
        <v>81</v>
      </c>
      <c r="F11" s="7">
        <v>46230.390972222223</v>
      </c>
      <c r="G11" s="7">
        <v>46234.607638888891</v>
      </c>
      <c r="H11" s="8">
        <v>14478.4</v>
      </c>
      <c r="I11" s="9">
        <v>9555.7440000000006</v>
      </c>
      <c r="J11" s="10">
        <f t="shared" si="0"/>
        <v>0.66</v>
      </c>
      <c r="K11" s="8">
        <v>0</v>
      </c>
      <c r="L11" s="5">
        <v>436</v>
      </c>
      <c r="N11" s="5">
        <f>TabelaBaseTarefas[[#This Row],[Linha Banco de Dados]]+2</f>
        <v>438</v>
      </c>
    </row>
    <row r="12" spans="1:14">
      <c r="A12" s="6">
        <v>61</v>
      </c>
      <c r="B12" s="5" t="s">
        <v>53</v>
      </c>
      <c r="C12" s="5" t="s">
        <v>82</v>
      </c>
      <c r="D12" s="5" t="s">
        <v>83</v>
      </c>
      <c r="E12" s="5" t="s">
        <v>84</v>
      </c>
      <c r="F12" s="7">
        <v>46234.607638888891</v>
      </c>
      <c r="G12" s="7">
        <v>46237.421527777777</v>
      </c>
      <c r="H12" s="8">
        <v>1812.4</v>
      </c>
      <c r="I12" s="9">
        <v>1087.44</v>
      </c>
      <c r="J12" s="10">
        <f t="shared" si="0"/>
        <v>0.6</v>
      </c>
      <c r="K12" s="8">
        <v>0</v>
      </c>
      <c r="L12" s="5">
        <v>454</v>
      </c>
      <c r="N12" s="5">
        <f>TabelaBaseTarefas[[#This Row],[Linha Banco de Dados]]+2</f>
        <v>456</v>
      </c>
    </row>
    <row r="13" spans="1:14">
      <c r="A13" s="6">
        <v>62</v>
      </c>
      <c r="B13" s="5" t="s">
        <v>53</v>
      </c>
      <c r="C13" s="5" t="s">
        <v>85</v>
      </c>
      <c r="D13" s="5" t="s">
        <v>86</v>
      </c>
      <c r="E13" s="5" t="s">
        <v>87</v>
      </c>
      <c r="F13" s="7">
        <v>46237.421527777777</v>
      </c>
      <c r="G13" s="7">
        <v>46237.652083333334</v>
      </c>
      <c r="H13" s="8">
        <v>1812.4</v>
      </c>
      <c r="I13" s="9">
        <v>1576.788</v>
      </c>
      <c r="J13" s="10">
        <f t="shared" si="0"/>
        <v>0.87</v>
      </c>
      <c r="K13" s="8">
        <v>0</v>
      </c>
      <c r="L13" s="5">
        <v>478</v>
      </c>
      <c r="N13" s="5">
        <f>TabelaBaseTarefas[[#This Row],[Linha Banco de Dados]]+2</f>
        <v>480</v>
      </c>
    </row>
    <row r="14" spans="1:14">
      <c r="A14" s="6">
        <v>63</v>
      </c>
      <c r="B14" s="5" t="s">
        <v>53</v>
      </c>
      <c r="C14" s="5" t="s">
        <v>88</v>
      </c>
      <c r="E14" s="5" t="s">
        <v>56</v>
      </c>
      <c r="F14" s="7">
        <v>46237.652083333334</v>
      </c>
      <c r="G14" s="7">
        <v>46237.661111111112</v>
      </c>
      <c r="H14" s="8">
        <v>87</v>
      </c>
      <c r="I14" s="9">
        <v>0</v>
      </c>
      <c r="J14" s="10">
        <f t="shared" si="0"/>
        <v>0</v>
      </c>
      <c r="K14" s="8">
        <v>0</v>
      </c>
      <c r="L14" s="5">
        <v>502</v>
      </c>
      <c r="N14" s="5">
        <f>TabelaBaseTarefas[[#This Row],[Linha Banco de Dados]]+2</f>
        <v>504</v>
      </c>
    </row>
    <row r="15" spans="1:14">
      <c r="A15" s="6">
        <v>64</v>
      </c>
      <c r="B15" s="5" t="s">
        <v>53</v>
      </c>
      <c r="C15" s="5" t="s">
        <v>89</v>
      </c>
      <c r="D15" s="5" t="s">
        <v>90</v>
      </c>
      <c r="E15" s="5" t="s">
        <v>91</v>
      </c>
      <c r="F15" s="7">
        <v>46237.661111111112</v>
      </c>
      <c r="G15" s="7">
        <v>46237.670138888891</v>
      </c>
      <c r="H15" s="8">
        <f>86.8/2</f>
        <v>43.4</v>
      </c>
      <c r="I15" s="9">
        <v>12.586</v>
      </c>
      <c r="J15" s="10">
        <f t="shared" si="0"/>
        <v>0.29000000000000004</v>
      </c>
      <c r="K15" s="8">
        <v>0</v>
      </c>
      <c r="L15" s="5">
        <v>507</v>
      </c>
      <c r="N15" s="5">
        <f>TabelaBaseTarefas[[#This Row],[Linha Banco de Dados]]+2</f>
        <v>509</v>
      </c>
    </row>
    <row r="16" spans="1:14">
      <c r="A16" s="6">
        <v>65</v>
      </c>
      <c r="B16" s="5" t="s">
        <v>53</v>
      </c>
      <c r="C16" s="5" t="s">
        <v>89</v>
      </c>
      <c r="D16" s="5" t="s">
        <v>92</v>
      </c>
      <c r="E16" s="5" t="s">
        <v>93</v>
      </c>
      <c r="F16" s="7">
        <v>46237.670138888891</v>
      </c>
      <c r="G16" s="7">
        <v>46237.679166666669</v>
      </c>
      <c r="H16" s="8">
        <f>86.8/2</f>
        <v>43.4</v>
      </c>
      <c r="I16" s="9">
        <v>22.79</v>
      </c>
      <c r="J16" s="10">
        <f t="shared" si="0"/>
        <v>0.52511520737327189</v>
      </c>
      <c r="K16" s="8">
        <v>0</v>
      </c>
      <c r="L16" s="5">
        <v>508</v>
      </c>
      <c r="N16" s="5">
        <f>TabelaBaseTarefas[[#This Row],[Linha Banco de Dados]]+2</f>
        <v>510</v>
      </c>
    </row>
    <row r="17" spans="1:14">
      <c r="A17" s="6">
        <v>66</v>
      </c>
      <c r="B17" s="5" t="s">
        <v>53</v>
      </c>
      <c r="C17" s="5" t="s">
        <v>89</v>
      </c>
      <c r="D17" s="5" t="s">
        <v>94</v>
      </c>
      <c r="E17" s="5" t="s">
        <v>95</v>
      </c>
      <c r="F17" s="7">
        <v>46237.679166666669</v>
      </c>
      <c r="G17" s="7">
        <v>46237.683333333334</v>
      </c>
      <c r="H17" s="8">
        <f>42.6/2</f>
        <v>21.3</v>
      </c>
      <c r="I17" s="9">
        <v>0.85199999999999998</v>
      </c>
      <c r="J17" s="10">
        <f t="shared" si="0"/>
        <v>0.04</v>
      </c>
      <c r="K17" s="8">
        <v>0</v>
      </c>
      <c r="L17" s="5">
        <v>514</v>
      </c>
      <c r="N17" s="5">
        <f>TabelaBaseTarefas[[#This Row],[Linha Banco de Dados]]+2</f>
        <v>516</v>
      </c>
    </row>
    <row r="18" spans="1:14">
      <c r="A18" s="6">
        <v>67</v>
      </c>
      <c r="B18" s="5" t="s">
        <v>53</v>
      </c>
      <c r="C18" s="5" t="s">
        <v>89</v>
      </c>
      <c r="D18" s="5" t="s">
        <v>96</v>
      </c>
      <c r="E18" s="5" t="s">
        <v>97</v>
      </c>
      <c r="F18" s="7">
        <v>46237.683333333334</v>
      </c>
      <c r="G18" s="7">
        <v>46237.6875</v>
      </c>
      <c r="H18" s="8">
        <f>42.6/2</f>
        <v>21.3</v>
      </c>
      <c r="I18" s="9">
        <v>16.614000000000001</v>
      </c>
      <c r="J18" s="10">
        <f t="shared" si="0"/>
        <v>0.78</v>
      </c>
      <c r="K18" s="8">
        <v>0</v>
      </c>
      <c r="L18" s="5">
        <v>515</v>
      </c>
      <c r="N18" s="5">
        <f>TabelaBaseTarefas[[#This Row],[Linha Banco de Dados]]+2</f>
        <v>517</v>
      </c>
    </row>
    <row r="19" spans="1:14">
      <c r="A19" s="6">
        <v>68</v>
      </c>
      <c r="B19" s="5" t="s">
        <v>53</v>
      </c>
      <c r="C19" s="5" t="s">
        <v>89</v>
      </c>
      <c r="D19" s="5" t="s">
        <v>98</v>
      </c>
      <c r="E19" s="5" t="s">
        <v>99</v>
      </c>
      <c r="F19" s="7">
        <v>46237.6875</v>
      </c>
      <c r="G19" s="7">
        <v>46237.704861111109</v>
      </c>
      <c r="H19" s="8">
        <f>169.2/2</f>
        <v>84.6</v>
      </c>
      <c r="I19" s="9">
        <v>59.22</v>
      </c>
      <c r="J19" s="10">
        <f t="shared" si="0"/>
        <v>0.70000000000000007</v>
      </c>
      <c r="K19" s="8">
        <v>0</v>
      </c>
      <c r="L19" s="5">
        <v>521</v>
      </c>
      <c r="N19" s="5">
        <f>TabelaBaseTarefas[[#This Row],[Linha Banco de Dados]]+2</f>
        <v>523</v>
      </c>
    </row>
    <row r="20" spans="1:14">
      <c r="A20" s="6">
        <v>69</v>
      </c>
      <c r="B20" s="5" t="s">
        <v>53</v>
      </c>
      <c r="C20" s="5" t="s">
        <v>89</v>
      </c>
      <c r="D20" s="5" t="s">
        <v>100</v>
      </c>
      <c r="E20" s="5" t="s">
        <v>101</v>
      </c>
      <c r="F20" s="7">
        <v>46237.704861111109</v>
      </c>
      <c r="G20" s="7">
        <v>46238.679166666669</v>
      </c>
      <c r="H20" s="8">
        <f>2956/2</f>
        <v>1478</v>
      </c>
      <c r="I20" s="9">
        <v>162.58000000000001</v>
      </c>
      <c r="J20" s="10">
        <f t="shared" si="0"/>
        <v>0.11000000000000001</v>
      </c>
      <c r="K20" s="8">
        <v>0</v>
      </c>
      <c r="L20" s="5">
        <v>527</v>
      </c>
      <c r="N20" s="5">
        <f>TabelaBaseTarefas[[#This Row],[Linha Banco de Dados]]+2</f>
        <v>529</v>
      </c>
    </row>
    <row r="21" spans="1:14">
      <c r="A21" s="6">
        <v>70</v>
      </c>
      <c r="B21" s="5" t="s">
        <v>53</v>
      </c>
      <c r="C21" s="5" t="s">
        <v>89</v>
      </c>
      <c r="D21" s="5" t="s">
        <v>102</v>
      </c>
      <c r="E21" s="5" t="s">
        <v>103</v>
      </c>
      <c r="F21" s="7">
        <v>46238.679166666669</v>
      </c>
      <c r="G21" s="7">
        <v>46239.65347222222</v>
      </c>
      <c r="H21" s="8">
        <f>2956/2</f>
        <v>1478</v>
      </c>
      <c r="I21" s="9">
        <v>162.58000000000001</v>
      </c>
      <c r="J21" s="10">
        <f t="shared" si="0"/>
        <v>0.11000000000000001</v>
      </c>
      <c r="K21" s="8">
        <v>0</v>
      </c>
      <c r="L21" s="5">
        <v>528</v>
      </c>
      <c r="N21" s="5">
        <f>TabelaBaseTarefas[[#This Row],[Linha Banco de Dados]]+2</f>
        <v>530</v>
      </c>
    </row>
    <row r="22" spans="1:14">
      <c r="A22" s="6">
        <v>71</v>
      </c>
      <c r="B22" s="5" t="s">
        <v>53</v>
      </c>
      <c r="C22" s="5" t="s">
        <v>104</v>
      </c>
      <c r="D22" s="5" t="s">
        <v>105</v>
      </c>
      <c r="E22" s="5" t="s">
        <v>106</v>
      </c>
      <c r="F22" s="7">
        <v>46239.65347222222</v>
      </c>
      <c r="G22" s="7">
        <v>46240.336111111108</v>
      </c>
      <c r="H22" s="8">
        <v>556.6</v>
      </c>
      <c r="I22" s="9">
        <v>22.263999999999999</v>
      </c>
      <c r="J22" s="10">
        <f t="shared" si="0"/>
        <v>3.9999999999999994E-2</v>
      </c>
      <c r="K22" s="8">
        <v>0</v>
      </c>
      <c r="L22" s="5">
        <v>535</v>
      </c>
      <c r="N22" s="5">
        <f>TabelaBaseTarefas[[#This Row],[Linha Banco de Dados]]+2</f>
        <v>537</v>
      </c>
    </row>
    <row r="23" spans="1:14">
      <c r="A23" s="6">
        <v>73</v>
      </c>
      <c r="B23" s="5" t="s">
        <v>53</v>
      </c>
      <c r="C23" s="5" t="s">
        <v>104</v>
      </c>
      <c r="D23" s="5" t="s">
        <v>107</v>
      </c>
      <c r="E23" s="5" t="s">
        <v>108</v>
      </c>
      <c r="F23" s="7">
        <v>46240.388888888891</v>
      </c>
      <c r="G23" s="7">
        <v>46240.438888888886</v>
      </c>
      <c r="H23" s="8">
        <v>482.6</v>
      </c>
      <c r="I23" s="9">
        <v>19.303999999999998</v>
      </c>
      <c r="J23" s="10">
        <f t="shared" si="0"/>
        <v>3.9999999999999994E-2</v>
      </c>
      <c r="K23" s="8">
        <v>0</v>
      </c>
      <c r="L23" s="5">
        <v>553</v>
      </c>
      <c r="N23" s="5">
        <f>TabelaBaseTarefas[[#This Row],[Linha Banco de Dados]]+2</f>
        <v>555</v>
      </c>
    </row>
    <row r="24" spans="1:14">
      <c r="A24" s="6">
        <v>74</v>
      </c>
      <c r="B24" s="5" t="s">
        <v>53</v>
      </c>
      <c r="C24" s="5" t="s">
        <v>109</v>
      </c>
      <c r="D24" s="5" t="s">
        <v>110</v>
      </c>
      <c r="E24" s="5" t="s">
        <v>111</v>
      </c>
      <c r="F24" s="7">
        <v>46240.438888888886</v>
      </c>
      <c r="G24" s="7">
        <v>46240.466666666667</v>
      </c>
      <c r="H24" s="8">
        <v>269</v>
      </c>
      <c r="I24" s="9">
        <v>10.76</v>
      </c>
      <c r="J24" s="10">
        <f t="shared" ref="J24:J45" si="1">IF(H24=0,0,I24/H24)</f>
        <v>0.04</v>
      </c>
      <c r="K24" s="8">
        <v>0</v>
      </c>
      <c r="L24" s="5">
        <v>561</v>
      </c>
      <c r="N24" s="5">
        <f>TabelaBaseTarefas[[#This Row],[Linha Banco de Dados]]+2</f>
        <v>563</v>
      </c>
    </row>
    <row r="25" spans="1:14">
      <c r="A25" s="6">
        <v>75</v>
      </c>
      <c r="B25" s="5" t="s">
        <v>53</v>
      </c>
      <c r="C25" s="5" t="s">
        <v>109</v>
      </c>
      <c r="D25" s="5" t="s">
        <v>112</v>
      </c>
      <c r="E25" s="5" t="s">
        <v>113</v>
      </c>
      <c r="F25" s="7">
        <v>46240.466666666667</v>
      </c>
      <c r="G25" s="7">
        <v>46240.494444444441</v>
      </c>
      <c r="H25" s="8">
        <v>269</v>
      </c>
      <c r="I25" s="9">
        <v>10.76</v>
      </c>
      <c r="J25" s="10">
        <f t="shared" si="1"/>
        <v>0.04</v>
      </c>
      <c r="K25" s="8">
        <v>0</v>
      </c>
      <c r="L25" s="5">
        <v>562</v>
      </c>
      <c r="N25" s="5">
        <f>TabelaBaseTarefas[[#This Row],[Linha Banco de Dados]]+2</f>
        <v>564</v>
      </c>
    </row>
    <row r="26" spans="1:14">
      <c r="A26" s="6">
        <v>80</v>
      </c>
      <c r="B26" s="5" t="s">
        <v>53</v>
      </c>
      <c r="C26" s="5" t="s">
        <v>114</v>
      </c>
      <c r="D26" s="5" t="s">
        <v>115</v>
      </c>
      <c r="E26" s="5" t="s">
        <v>116</v>
      </c>
      <c r="F26" s="7">
        <v>46240.647222222222</v>
      </c>
      <c r="G26" s="7">
        <v>46240.656944444447</v>
      </c>
      <c r="H26" s="8">
        <v>96</v>
      </c>
      <c r="I26" s="9">
        <v>4.8</v>
      </c>
      <c r="J26" s="10">
        <f t="shared" si="1"/>
        <v>4.9999999999999996E-2</v>
      </c>
      <c r="K26" s="8">
        <v>0</v>
      </c>
      <c r="L26" s="5">
        <v>602</v>
      </c>
      <c r="N26" s="5">
        <f>TabelaBaseTarefas[[#This Row],[Linha Banco de Dados]]+2</f>
        <v>604</v>
      </c>
    </row>
    <row r="27" spans="1:14">
      <c r="A27" s="6">
        <v>82</v>
      </c>
      <c r="B27" s="5" t="s">
        <v>53</v>
      </c>
      <c r="C27" s="5" t="s">
        <v>114</v>
      </c>
      <c r="D27" s="5" t="s">
        <v>117</v>
      </c>
      <c r="E27" s="5" t="s">
        <v>118</v>
      </c>
      <c r="F27" s="7">
        <v>46240.665277777778</v>
      </c>
      <c r="G27" s="7">
        <v>46240.673611111109</v>
      </c>
      <c r="H27" s="8">
        <v>80.2</v>
      </c>
      <c r="I27" s="9">
        <v>3.2080000000000002</v>
      </c>
      <c r="J27" s="10">
        <f t="shared" si="1"/>
        <v>0.04</v>
      </c>
      <c r="K27" s="8">
        <v>0</v>
      </c>
      <c r="L27" s="5">
        <v>609</v>
      </c>
      <c r="N27" s="5">
        <f>TabelaBaseTarefas[[#This Row],[Linha Banco de Dados]]+2</f>
        <v>611</v>
      </c>
    </row>
    <row r="28" spans="1:14">
      <c r="A28" s="6">
        <v>83</v>
      </c>
      <c r="B28" s="5" t="s">
        <v>53</v>
      </c>
      <c r="C28" s="5" t="s">
        <v>114</v>
      </c>
      <c r="D28" s="5" t="s">
        <v>119</v>
      </c>
      <c r="E28" s="5" t="s">
        <v>120</v>
      </c>
      <c r="F28" s="7">
        <v>46240.673611111109</v>
      </c>
      <c r="G28" s="7">
        <v>46240.685416666667</v>
      </c>
      <c r="H28" s="8">
        <v>114</v>
      </c>
      <c r="I28" s="9">
        <v>4.5599999999999996</v>
      </c>
      <c r="J28" s="10">
        <f t="shared" si="1"/>
        <v>3.9999999999999994E-2</v>
      </c>
      <c r="K28" s="8">
        <v>0</v>
      </c>
      <c r="L28" s="5">
        <v>616</v>
      </c>
      <c r="N28" s="5">
        <f>TabelaBaseTarefas[[#This Row],[Linha Banco de Dados]]+2</f>
        <v>618</v>
      </c>
    </row>
    <row r="29" spans="1:14">
      <c r="A29" s="6">
        <v>85</v>
      </c>
      <c r="B29" s="5" t="s">
        <v>53</v>
      </c>
      <c r="C29" s="5" t="s">
        <v>114</v>
      </c>
      <c r="D29" s="5" t="s">
        <v>121</v>
      </c>
      <c r="E29" s="5" t="s">
        <v>122</v>
      </c>
      <c r="F29" s="7">
        <v>46240.697222222225</v>
      </c>
      <c r="G29" s="7">
        <v>46241.337500000001</v>
      </c>
      <c r="H29" s="8">
        <f>149.6/2</f>
        <v>74.8</v>
      </c>
      <c r="I29" s="9">
        <v>58.344000000000001</v>
      </c>
      <c r="J29" s="10">
        <f t="shared" si="1"/>
        <v>0.78</v>
      </c>
      <c r="K29" s="8">
        <v>0</v>
      </c>
      <c r="L29" s="5">
        <v>624</v>
      </c>
      <c r="N29" s="5">
        <f>TabelaBaseTarefas[[#This Row],[Linha Banco de Dados]]+2</f>
        <v>626</v>
      </c>
    </row>
    <row r="30" spans="1:14">
      <c r="A30" s="6">
        <v>86</v>
      </c>
      <c r="B30" s="5" t="s">
        <v>53</v>
      </c>
      <c r="C30" s="5" t="s">
        <v>114</v>
      </c>
      <c r="D30" s="5" t="s">
        <v>123</v>
      </c>
      <c r="E30" s="5" t="s">
        <v>124</v>
      </c>
      <c r="F30" s="7">
        <v>46241.337500000001</v>
      </c>
      <c r="G30" s="7">
        <v>46241.379861111112</v>
      </c>
      <c r="H30" s="8">
        <f>404.8/2</f>
        <v>202.4</v>
      </c>
      <c r="I30" s="9">
        <v>157.87200000000001</v>
      </c>
      <c r="J30" s="10">
        <f t="shared" si="1"/>
        <v>0.78</v>
      </c>
      <c r="K30" s="8">
        <v>0</v>
      </c>
      <c r="L30" s="5">
        <v>626</v>
      </c>
      <c r="N30" s="5">
        <f>TabelaBaseTarefas[[#This Row],[Linha Banco de Dados]]+2</f>
        <v>628</v>
      </c>
    </row>
    <row r="31" spans="1:14">
      <c r="A31" s="6">
        <v>87</v>
      </c>
      <c r="B31" s="5" t="s">
        <v>53</v>
      </c>
      <c r="C31" s="5" t="s">
        <v>125</v>
      </c>
      <c r="D31" s="5" t="s">
        <v>126</v>
      </c>
      <c r="E31" s="5" t="s">
        <v>127</v>
      </c>
      <c r="F31" s="7">
        <v>46241.379861111112</v>
      </c>
      <c r="G31" s="7">
        <v>46241.397916666669</v>
      </c>
      <c r="H31" s="8">
        <v>171</v>
      </c>
      <c r="I31" s="9">
        <v>6.84</v>
      </c>
      <c r="J31" s="10">
        <f t="shared" si="1"/>
        <v>0.04</v>
      </c>
      <c r="K31" s="8">
        <v>0</v>
      </c>
      <c r="L31" s="5">
        <v>628</v>
      </c>
      <c r="N31" s="5">
        <f>TabelaBaseTarefas[[#This Row],[Linha Banco de Dados]]+2</f>
        <v>630</v>
      </c>
    </row>
    <row r="32" spans="1:14">
      <c r="A32" s="6">
        <v>88</v>
      </c>
      <c r="B32" s="5" t="s">
        <v>53</v>
      </c>
      <c r="C32" s="5" t="s">
        <v>125</v>
      </c>
      <c r="D32" s="5" t="s">
        <v>128</v>
      </c>
      <c r="E32" s="5" t="s">
        <v>129</v>
      </c>
      <c r="F32" s="7">
        <v>46241.397916666669</v>
      </c>
      <c r="G32" s="7">
        <v>46241.415972222225</v>
      </c>
      <c r="H32" s="8">
        <v>171</v>
      </c>
      <c r="I32" s="9">
        <v>6.84</v>
      </c>
      <c r="J32" s="10">
        <f t="shared" si="1"/>
        <v>0.04</v>
      </c>
      <c r="K32" s="8">
        <v>0</v>
      </c>
      <c r="L32" s="5">
        <v>629</v>
      </c>
      <c r="N32" s="5">
        <f>TabelaBaseTarefas[[#This Row],[Linha Banco de Dados]]+2</f>
        <v>631</v>
      </c>
    </row>
    <row r="33" spans="1:14">
      <c r="A33" s="6">
        <v>89</v>
      </c>
      <c r="B33" s="5" t="s">
        <v>53</v>
      </c>
      <c r="C33" s="5" t="s">
        <v>125</v>
      </c>
      <c r="D33" s="5" t="s">
        <v>130</v>
      </c>
      <c r="E33" s="5" t="s">
        <v>131</v>
      </c>
      <c r="F33" s="7">
        <v>46241.415972222225</v>
      </c>
      <c r="G33" s="7">
        <v>46241.427777777775</v>
      </c>
      <c r="H33" s="8">
        <v>112</v>
      </c>
      <c r="I33" s="9">
        <v>4.4800000000000004</v>
      </c>
      <c r="J33" s="10">
        <f t="shared" si="1"/>
        <v>0.04</v>
      </c>
      <c r="K33" s="8">
        <v>0</v>
      </c>
      <c r="L33" s="5">
        <v>640</v>
      </c>
      <c r="N33" s="5">
        <f>TabelaBaseTarefas[[#This Row],[Linha Banco de Dados]]+2</f>
        <v>642</v>
      </c>
    </row>
    <row r="34" spans="1:14">
      <c r="A34" s="6">
        <v>90</v>
      </c>
      <c r="B34" s="5" t="s">
        <v>53</v>
      </c>
      <c r="C34" s="5" t="s">
        <v>125</v>
      </c>
      <c r="D34" s="5" t="s">
        <v>132</v>
      </c>
      <c r="E34" s="5" t="s">
        <v>133</v>
      </c>
      <c r="F34" s="7">
        <v>46241.427777777775</v>
      </c>
      <c r="G34" s="7">
        <v>46241.439583333333</v>
      </c>
      <c r="H34" s="8">
        <v>112</v>
      </c>
      <c r="I34" s="9">
        <v>4.4800000000000004</v>
      </c>
      <c r="J34" s="10">
        <f t="shared" si="1"/>
        <v>0.04</v>
      </c>
      <c r="K34" s="8">
        <v>0</v>
      </c>
      <c r="L34" s="5">
        <v>641</v>
      </c>
      <c r="N34" s="5">
        <f>TabelaBaseTarefas[[#This Row],[Linha Banco de Dados]]+2</f>
        <v>643</v>
      </c>
    </row>
    <row r="35" spans="1:14">
      <c r="A35" s="6">
        <v>95</v>
      </c>
      <c r="B35" s="5" t="s">
        <v>53</v>
      </c>
      <c r="C35" s="5" t="s">
        <v>134</v>
      </c>
      <c r="D35" s="5" t="s">
        <v>135</v>
      </c>
      <c r="E35" s="5" t="s">
        <v>136</v>
      </c>
      <c r="F35" s="7">
        <v>46241.482638888891</v>
      </c>
      <c r="G35" s="7">
        <v>46241.542361111111</v>
      </c>
      <c r="H35" s="8">
        <v>175.2</v>
      </c>
      <c r="I35" s="9">
        <v>0</v>
      </c>
      <c r="J35" s="10">
        <f t="shared" si="1"/>
        <v>0</v>
      </c>
      <c r="K35" s="8">
        <v>0</v>
      </c>
      <c r="L35" s="5">
        <v>676</v>
      </c>
      <c r="N35" s="5">
        <f>TabelaBaseTarefas[[#This Row],[Linha Banco de Dados]]+2</f>
        <v>678</v>
      </c>
    </row>
    <row r="36" spans="1:14">
      <c r="A36" s="6">
        <v>96</v>
      </c>
      <c r="B36" s="5" t="s">
        <v>53</v>
      </c>
      <c r="C36" s="5" t="s">
        <v>134</v>
      </c>
      <c r="D36" s="5" t="s">
        <v>137</v>
      </c>
      <c r="E36" s="5" t="s">
        <v>138</v>
      </c>
      <c r="F36" s="7">
        <v>46241.542361111111</v>
      </c>
      <c r="G36" s="7">
        <v>46241.560416666667</v>
      </c>
      <c r="H36" s="8">
        <v>175.2</v>
      </c>
      <c r="I36" s="9">
        <v>0</v>
      </c>
      <c r="J36" s="10">
        <f t="shared" si="1"/>
        <v>0</v>
      </c>
      <c r="K36" s="8">
        <v>0</v>
      </c>
      <c r="L36" s="5">
        <v>677</v>
      </c>
      <c r="N36" s="5">
        <f>TabelaBaseTarefas[[#This Row],[Linha Banco de Dados]]+2</f>
        <v>679</v>
      </c>
    </row>
    <row r="37" spans="1:14">
      <c r="A37" s="6">
        <v>97</v>
      </c>
      <c r="B37" s="5" t="s">
        <v>53</v>
      </c>
      <c r="C37" s="5" t="s">
        <v>134</v>
      </c>
      <c r="D37" s="5" t="s">
        <v>139</v>
      </c>
      <c r="E37" s="5" t="s">
        <v>140</v>
      </c>
      <c r="F37" s="7">
        <v>46241.560416666667</v>
      </c>
      <c r="G37" s="7">
        <v>46241.579861111109</v>
      </c>
      <c r="H37" s="8">
        <v>186</v>
      </c>
      <c r="I37" s="9">
        <v>0</v>
      </c>
      <c r="J37" s="10">
        <f t="shared" si="1"/>
        <v>0</v>
      </c>
      <c r="K37" s="8">
        <v>0</v>
      </c>
      <c r="L37" s="5">
        <v>689</v>
      </c>
      <c r="N37" s="5">
        <f>TabelaBaseTarefas[[#This Row],[Linha Banco de Dados]]+2</f>
        <v>691</v>
      </c>
    </row>
    <row r="38" spans="1:14">
      <c r="A38" s="6">
        <v>98</v>
      </c>
      <c r="B38" s="5" t="s">
        <v>53</v>
      </c>
      <c r="C38" s="5" t="s">
        <v>134</v>
      </c>
      <c r="D38" s="5" t="s">
        <v>141</v>
      </c>
      <c r="E38" s="5" t="s">
        <v>142</v>
      </c>
      <c r="F38" s="7">
        <v>46241.579861111109</v>
      </c>
      <c r="G38" s="7">
        <v>46241.599305555559</v>
      </c>
      <c r="H38" s="8">
        <v>186</v>
      </c>
      <c r="I38" s="9">
        <v>0</v>
      </c>
      <c r="J38" s="10">
        <f t="shared" si="1"/>
        <v>0</v>
      </c>
      <c r="K38" s="8">
        <v>0</v>
      </c>
      <c r="L38" s="5">
        <v>690</v>
      </c>
      <c r="N38" s="5">
        <f>TabelaBaseTarefas[[#This Row],[Linha Banco de Dados]]+2</f>
        <v>692</v>
      </c>
    </row>
    <row r="39" spans="1:14">
      <c r="A39" s="6">
        <v>99</v>
      </c>
      <c r="B39" s="5" t="s">
        <v>53</v>
      </c>
      <c r="C39" s="5" t="s">
        <v>134</v>
      </c>
      <c r="D39" s="5" t="s">
        <v>143</v>
      </c>
      <c r="E39" s="5" t="s">
        <v>144</v>
      </c>
      <c r="F39" s="7">
        <v>46241.599305555559</v>
      </c>
      <c r="G39" s="7">
        <v>46241.614583333336</v>
      </c>
      <c r="H39" s="8">
        <v>144.4</v>
      </c>
      <c r="I39" s="9">
        <v>0</v>
      </c>
      <c r="J39" s="10">
        <f t="shared" si="1"/>
        <v>0</v>
      </c>
      <c r="K39" s="8">
        <v>0</v>
      </c>
      <c r="L39" s="5">
        <v>702</v>
      </c>
      <c r="N39" s="5">
        <f>TabelaBaseTarefas[[#This Row],[Linha Banco de Dados]]+2</f>
        <v>704</v>
      </c>
    </row>
    <row r="40" spans="1:14">
      <c r="A40" s="6">
        <v>100</v>
      </c>
      <c r="B40" s="5" t="s">
        <v>53</v>
      </c>
      <c r="C40" s="5" t="s">
        <v>134</v>
      </c>
      <c r="D40" s="5" t="s">
        <v>145</v>
      </c>
      <c r="E40" s="5" t="s">
        <v>146</v>
      </c>
      <c r="F40" s="7">
        <v>46241.614583333336</v>
      </c>
      <c r="G40" s="7">
        <v>46241.624305555553</v>
      </c>
      <c r="H40" s="8">
        <v>95.2</v>
      </c>
      <c r="I40" s="9">
        <v>0</v>
      </c>
      <c r="J40" s="10">
        <f t="shared" si="1"/>
        <v>0</v>
      </c>
      <c r="K40" s="8">
        <v>0</v>
      </c>
      <c r="L40" s="5">
        <v>708</v>
      </c>
      <c r="N40" s="5">
        <f>TabelaBaseTarefas[[#This Row],[Linha Banco de Dados]]+2</f>
        <v>710</v>
      </c>
    </row>
    <row r="41" spans="1:14">
      <c r="A41" s="6">
        <v>101</v>
      </c>
      <c r="B41" s="5" t="s">
        <v>53</v>
      </c>
      <c r="C41" s="5" t="s">
        <v>134</v>
      </c>
      <c r="D41" s="5" t="s">
        <v>147</v>
      </c>
      <c r="E41" s="5" t="s">
        <v>148</v>
      </c>
      <c r="F41" s="7">
        <v>46241.624305555553</v>
      </c>
      <c r="G41" s="7">
        <v>46241.632638888892</v>
      </c>
      <c r="H41" s="8">
        <v>77.599999999999994</v>
      </c>
      <c r="I41" s="9">
        <v>0</v>
      </c>
      <c r="J41" s="10">
        <f t="shared" si="1"/>
        <v>0</v>
      </c>
      <c r="K41" s="8">
        <v>0</v>
      </c>
      <c r="L41" s="5">
        <v>714</v>
      </c>
      <c r="N41" s="5">
        <f>TabelaBaseTarefas[[#This Row],[Linha Banco de Dados]]+2</f>
        <v>716</v>
      </c>
    </row>
    <row r="42" spans="1:14">
      <c r="A42" s="6">
        <v>102</v>
      </c>
      <c r="B42" s="5" t="s">
        <v>53</v>
      </c>
      <c r="C42" s="5" t="s">
        <v>134</v>
      </c>
      <c r="D42" s="5" t="s">
        <v>149</v>
      </c>
      <c r="E42" s="5" t="s">
        <v>150</v>
      </c>
      <c r="F42" s="7">
        <v>46241.632638888892</v>
      </c>
      <c r="G42" s="7">
        <v>46241.634722222225</v>
      </c>
      <c r="H42" s="8">
        <v>20.9</v>
      </c>
      <c r="I42" s="9">
        <v>0</v>
      </c>
      <c r="J42" s="10">
        <f t="shared" si="1"/>
        <v>0</v>
      </c>
      <c r="K42" s="8">
        <v>0</v>
      </c>
      <c r="L42" s="5">
        <v>720</v>
      </c>
      <c r="N42" s="5">
        <f>TabelaBaseTarefas[[#This Row],[Linha Banco de Dados]]+2</f>
        <v>722</v>
      </c>
    </row>
    <row r="43" spans="1:14">
      <c r="A43" s="6">
        <v>103</v>
      </c>
      <c r="B43" s="5" t="s">
        <v>53</v>
      </c>
      <c r="C43" s="5" t="s">
        <v>134</v>
      </c>
      <c r="D43" s="5" t="s">
        <v>151</v>
      </c>
      <c r="E43" s="5" t="s">
        <v>152</v>
      </c>
      <c r="F43" s="7">
        <v>46241.634722222225</v>
      </c>
      <c r="G43" s="7">
        <v>46241.636805555558</v>
      </c>
      <c r="H43" s="8">
        <v>20.9</v>
      </c>
      <c r="I43" s="9">
        <v>0</v>
      </c>
      <c r="J43" s="10">
        <f t="shared" si="1"/>
        <v>0</v>
      </c>
      <c r="K43" s="8">
        <v>0</v>
      </c>
      <c r="L43" s="5">
        <v>721</v>
      </c>
      <c r="N43" s="5">
        <f>TabelaBaseTarefas[[#This Row],[Linha Banco de Dados]]+2</f>
        <v>723</v>
      </c>
    </row>
    <row r="44" spans="1:14">
      <c r="A44" s="6">
        <v>104</v>
      </c>
      <c r="B44" s="5" t="s">
        <v>53</v>
      </c>
      <c r="C44" s="5" t="s">
        <v>153</v>
      </c>
      <c r="E44" s="5" t="s">
        <v>56</v>
      </c>
      <c r="F44" s="7">
        <v>46241.636805555558</v>
      </c>
      <c r="G44" s="7">
        <v>46244.354861111111</v>
      </c>
      <c r="H44" s="8">
        <v>890.3</v>
      </c>
      <c r="I44" s="9">
        <v>0</v>
      </c>
      <c r="J44" s="10">
        <f t="shared" si="1"/>
        <v>0</v>
      </c>
      <c r="K44" s="8">
        <v>0</v>
      </c>
      <c r="L44" s="5">
        <v>727</v>
      </c>
      <c r="N44" s="5">
        <f>TabelaBaseTarefas[[#This Row],[Linha Banco de Dados]]+2</f>
        <v>729</v>
      </c>
    </row>
    <row r="45" spans="1:14">
      <c r="A45" s="6">
        <v>105</v>
      </c>
      <c r="B45" s="5" t="s">
        <v>53</v>
      </c>
      <c r="C45" s="5" t="s">
        <v>154</v>
      </c>
      <c r="D45" s="5" t="s">
        <v>155</v>
      </c>
      <c r="E45" s="5" t="s">
        <v>156</v>
      </c>
      <c r="F45" s="7">
        <v>46244.354861111111</v>
      </c>
      <c r="G45" s="7">
        <v>46245.349305555559</v>
      </c>
      <c r="H45" s="8">
        <v>3148.8</v>
      </c>
      <c r="I45" s="9">
        <v>0</v>
      </c>
      <c r="J45" s="10">
        <f t="shared" si="1"/>
        <v>0</v>
      </c>
      <c r="K45" s="8">
        <v>0</v>
      </c>
      <c r="L45" s="5">
        <v>732</v>
      </c>
      <c r="N45" s="5">
        <f>TabelaBaseTarefas[[#This Row],[Linha Banco de Dados]]+2</f>
        <v>734</v>
      </c>
    </row>
    <row r="46" spans="1:14">
      <c r="A46" s="6">
        <v>106</v>
      </c>
      <c r="B46" s="5" t="s">
        <v>53</v>
      </c>
      <c r="C46" s="5" t="s">
        <v>154</v>
      </c>
      <c r="D46" s="5" t="s">
        <v>157</v>
      </c>
      <c r="E46" s="5" t="s">
        <v>158</v>
      </c>
      <c r="F46" s="7">
        <v>46245.349305555559</v>
      </c>
      <c r="G46" s="7">
        <v>46245.665277777778</v>
      </c>
      <c r="H46" s="8">
        <v>2630.4</v>
      </c>
      <c r="I46" s="9">
        <v>0</v>
      </c>
      <c r="J46" s="10">
        <f t="shared" ref="J46:J77" si="2">IF(H46=0,0,I46/H46)</f>
        <v>0</v>
      </c>
      <c r="K46" s="8">
        <v>0</v>
      </c>
      <c r="L46" s="5">
        <v>735</v>
      </c>
      <c r="N46" s="5">
        <f>TabelaBaseTarefas[[#This Row],[Linha Banco de Dados]]+2</f>
        <v>737</v>
      </c>
    </row>
    <row r="47" spans="1:14">
      <c r="A47" s="6">
        <v>107</v>
      </c>
      <c r="B47" s="5" t="s">
        <v>53</v>
      </c>
      <c r="C47" s="5" t="s">
        <v>154</v>
      </c>
      <c r="D47" s="5" t="s">
        <v>159</v>
      </c>
      <c r="E47" s="5" t="s">
        <v>160</v>
      </c>
      <c r="F47" s="7">
        <v>46245.665277777778</v>
      </c>
      <c r="G47" s="7">
        <v>46246.558333333334</v>
      </c>
      <c r="H47" s="8">
        <v>2176</v>
      </c>
      <c r="I47" s="9">
        <v>0</v>
      </c>
      <c r="J47" s="10">
        <f t="shared" si="2"/>
        <v>0</v>
      </c>
      <c r="K47" s="8">
        <v>0</v>
      </c>
      <c r="L47" s="5">
        <v>740</v>
      </c>
      <c r="N47" s="5">
        <f>TabelaBaseTarefas[[#This Row],[Linha Banco de Dados]]+2</f>
        <v>742</v>
      </c>
    </row>
    <row r="48" spans="1:14">
      <c r="A48" s="6">
        <v>108</v>
      </c>
      <c r="B48" s="5" t="s">
        <v>53</v>
      </c>
      <c r="C48" s="5" t="s">
        <v>154</v>
      </c>
      <c r="D48" s="5" t="s">
        <v>161</v>
      </c>
      <c r="E48" s="5" t="s">
        <v>162</v>
      </c>
      <c r="F48" s="7">
        <v>46246.558333333334</v>
      </c>
      <c r="G48" s="7">
        <v>46246.611111111109</v>
      </c>
      <c r="H48" s="8">
        <v>508</v>
      </c>
      <c r="I48" s="9">
        <v>0</v>
      </c>
      <c r="J48" s="10">
        <f t="shared" si="2"/>
        <v>0</v>
      </c>
      <c r="K48" s="8">
        <v>0</v>
      </c>
      <c r="L48" s="5">
        <v>745</v>
      </c>
      <c r="N48" s="5">
        <f>TabelaBaseTarefas[[#This Row],[Linha Banco de Dados]]+2</f>
        <v>747</v>
      </c>
    </row>
    <row r="49" spans="1:14">
      <c r="A49" s="6">
        <v>109</v>
      </c>
      <c r="B49" s="5" t="s">
        <v>53</v>
      </c>
      <c r="C49" s="5" t="s">
        <v>154</v>
      </c>
      <c r="D49" s="5" t="s">
        <v>163</v>
      </c>
      <c r="E49" s="5" t="s">
        <v>164</v>
      </c>
      <c r="F49" s="7">
        <v>46246.611111111109</v>
      </c>
      <c r="G49" s="7">
        <v>46247.339583333334</v>
      </c>
      <c r="H49" s="8">
        <v>996</v>
      </c>
      <c r="I49" s="9">
        <v>0</v>
      </c>
      <c r="J49" s="10">
        <f t="shared" si="2"/>
        <v>0</v>
      </c>
      <c r="K49" s="8">
        <v>0</v>
      </c>
      <c r="L49" s="5">
        <v>751</v>
      </c>
      <c r="N49" s="5">
        <f>TabelaBaseTarefas[[#This Row],[Linha Banco de Dados]]+2</f>
        <v>753</v>
      </c>
    </row>
    <row r="50" spans="1:14">
      <c r="A50" s="6">
        <v>110</v>
      </c>
      <c r="B50" s="5" t="s">
        <v>53</v>
      </c>
      <c r="C50" s="5" t="s">
        <v>154</v>
      </c>
      <c r="D50" s="5" t="s">
        <v>165</v>
      </c>
      <c r="E50" s="5" t="s">
        <v>166</v>
      </c>
      <c r="F50" s="7">
        <v>46247.339583333334</v>
      </c>
      <c r="G50" s="7">
        <v>46247.446527777778</v>
      </c>
      <c r="H50" s="8">
        <v>1029.5999999999999</v>
      </c>
      <c r="I50" s="9">
        <v>0</v>
      </c>
      <c r="J50" s="10">
        <f t="shared" si="2"/>
        <v>0</v>
      </c>
      <c r="K50" s="8">
        <v>0</v>
      </c>
      <c r="L50" s="5">
        <v>754</v>
      </c>
      <c r="N50" s="5">
        <f>TabelaBaseTarefas[[#This Row],[Linha Banco de Dados]]+2</f>
        <v>756</v>
      </c>
    </row>
    <row r="51" spans="1:14">
      <c r="A51" s="6">
        <v>111</v>
      </c>
      <c r="B51" s="5" t="s">
        <v>53</v>
      </c>
      <c r="C51" s="5" t="s">
        <v>154</v>
      </c>
      <c r="D51" s="5" t="s">
        <v>167</v>
      </c>
      <c r="E51" s="5" t="s">
        <v>168</v>
      </c>
      <c r="F51" s="7">
        <v>46247.446527777778</v>
      </c>
      <c r="G51" s="7">
        <v>46247.604861111111</v>
      </c>
      <c r="H51" s="8">
        <v>1120.8</v>
      </c>
      <c r="I51" s="9">
        <v>0</v>
      </c>
      <c r="J51" s="10">
        <f t="shared" si="2"/>
        <v>0</v>
      </c>
      <c r="K51" s="8">
        <v>0</v>
      </c>
      <c r="L51" s="5">
        <v>757</v>
      </c>
      <c r="N51" s="5">
        <f>TabelaBaseTarefas[[#This Row],[Linha Banco de Dados]]+2</f>
        <v>759</v>
      </c>
    </row>
    <row r="52" spans="1:14">
      <c r="A52" s="6">
        <v>112</v>
      </c>
      <c r="B52" s="5" t="s">
        <v>53</v>
      </c>
      <c r="C52" s="5" t="s">
        <v>154</v>
      </c>
      <c r="D52" s="5" t="s">
        <v>169</v>
      </c>
      <c r="E52" s="5" t="s">
        <v>170</v>
      </c>
      <c r="F52" s="7">
        <v>46247.604861111111</v>
      </c>
      <c r="G52" s="7">
        <v>46248.351388888892</v>
      </c>
      <c r="H52" s="8">
        <v>1164</v>
      </c>
      <c r="I52" s="9">
        <v>0</v>
      </c>
      <c r="J52" s="10">
        <f t="shared" si="2"/>
        <v>0</v>
      </c>
      <c r="K52" s="8">
        <v>0</v>
      </c>
      <c r="L52" s="5">
        <v>760</v>
      </c>
      <c r="N52" s="5">
        <f>TabelaBaseTarefas[[#This Row],[Linha Banco de Dados]]+2</f>
        <v>762</v>
      </c>
    </row>
    <row r="53" spans="1:14">
      <c r="A53" s="6">
        <v>113</v>
      </c>
      <c r="B53" s="5" t="s">
        <v>53</v>
      </c>
      <c r="C53" s="5" t="s">
        <v>154</v>
      </c>
      <c r="D53" s="5" t="s">
        <v>171</v>
      </c>
      <c r="E53" s="5" t="s">
        <v>172</v>
      </c>
      <c r="F53" s="7">
        <v>46248.351388888892</v>
      </c>
      <c r="G53" s="7">
        <v>46248.390972222223</v>
      </c>
      <c r="H53" s="8">
        <v>383.2</v>
      </c>
      <c r="I53" s="9">
        <v>0</v>
      </c>
      <c r="J53" s="10">
        <f t="shared" si="2"/>
        <v>0</v>
      </c>
      <c r="K53" s="8">
        <v>0</v>
      </c>
      <c r="L53" s="5">
        <v>763</v>
      </c>
      <c r="N53" s="5">
        <f>TabelaBaseTarefas[[#This Row],[Linha Banco de Dados]]+2</f>
        <v>765</v>
      </c>
    </row>
    <row r="54" spans="1:14">
      <c r="A54" s="6">
        <v>114</v>
      </c>
      <c r="B54" s="5" t="s">
        <v>53</v>
      </c>
      <c r="C54" s="5" t="s">
        <v>173</v>
      </c>
      <c r="D54" s="5" t="s">
        <v>174</v>
      </c>
      <c r="E54" s="5" t="s">
        <v>175</v>
      </c>
      <c r="F54" s="7">
        <v>46248.390972222223</v>
      </c>
      <c r="G54" s="7">
        <v>46248.428472222222</v>
      </c>
      <c r="H54" s="8">
        <v>361.2</v>
      </c>
      <c r="I54" s="9">
        <v>0</v>
      </c>
      <c r="J54" s="10">
        <f t="shared" si="2"/>
        <v>0</v>
      </c>
      <c r="K54" s="8">
        <v>0</v>
      </c>
      <c r="L54" s="5">
        <v>766</v>
      </c>
      <c r="N54" s="5">
        <f>TabelaBaseTarefas[[#This Row],[Linha Banco de Dados]]+2</f>
        <v>768</v>
      </c>
    </row>
    <row r="55" spans="1:14">
      <c r="A55" s="6">
        <v>115</v>
      </c>
      <c r="B55" s="5" t="s">
        <v>53</v>
      </c>
      <c r="C55" s="5" t="s">
        <v>173</v>
      </c>
      <c r="D55" s="5" t="s">
        <v>176</v>
      </c>
      <c r="E55" s="5" t="s">
        <v>177</v>
      </c>
      <c r="F55" s="7">
        <v>46248.428472222222</v>
      </c>
      <c r="G55" s="7">
        <v>46248.47152777778</v>
      </c>
      <c r="H55" s="8">
        <v>416</v>
      </c>
      <c r="I55" s="9">
        <v>0</v>
      </c>
      <c r="J55" s="10">
        <f t="shared" si="2"/>
        <v>0</v>
      </c>
      <c r="K55" s="8">
        <v>0</v>
      </c>
      <c r="L55" s="5">
        <v>778</v>
      </c>
      <c r="N55" s="5">
        <f>TabelaBaseTarefas[[#This Row],[Linha Banco de Dados]]+2</f>
        <v>780</v>
      </c>
    </row>
    <row r="56" spans="1:14">
      <c r="A56" s="6">
        <v>116</v>
      </c>
      <c r="B56" s="5" t="s">
        <v>53</v>
      </c>
      <c r="C56" s="5" t="s">
        <v>173</v>
      </c>
      <c r="D56" s="5" t="s">
        <v>178</v>
      </c>
      <c r="E56" s="5" t="s">
        <v>179</v>
      </c>
      <c r="F56" s="7">
        <v>46248.47152777778</v>
      </c>
      <c r="G56" s="7">
        <v>46248.558333333334</v>
      </c>
      <c r="H56" s="8">
        <v>432.8</v>
      </c>
      <c r="I56" s="9">
        <v>0</v>
      </c>
      <c r="J56" s="10">
        <f t="shared" si="2"/>
        <v>0</v>
      </c>
      <c r="K56" s="8">
        <v>0</v>
      </c>
      <c r="L56" s="5">
        <v>789</v>
      </c>
      <c r="N56" s="5">
        <f>TabelaBaseTarefas[[#This Row],[Linha Banco de Dados]]+2</f>
        <v>791</v>
      </c>
    </row>
    <row r="57" spans="1:14">
      <c r="A57" s="6">
        <v>117</v>
      </c>
      <c r="B57" s="5" t="s">
        <v>53</v>
      </c>
      <c r="C57" s="5" t="s">
        <v>173</v>
      </c>
      <c r="D57" s="5" t="s">
        <v>180</v>
      </c>
      <c r="E57" s="5" t="s">
        <v>181</v>
      </c>
      <c r="F57" s="7">
        <v>46248.558333333334</v>
      </c>
      <c r="G57" s="7">
        <v>46248.606249999997</v>
      </c>
      <c r="H57" s="8">
        <v>462.8</v>
      </c>
      <c r="I57" s="9">
        <v>0</v>
      </c>
      <c r="J57" s="10">
        <f t="shared" si="2"/>
        <v>0</v>
      </c>
      <c r="K57" s="8">
        <v>0</v>
      </c>
      <c r="L57" s="5">
        <v>800</v>
      </c>
      <c r="N57" s="5">
        <f>TabelaBaseTarefas[[#This Row],[Linha Banco de Dados]]+2</f>
        <v>802</v>
      </c>
    </row>
    <row r="58" spans="1:14">
      <c r="A58" s="6">
        <v>118</v>
      </c>
      <c r="B58" s="5" t="s">
        <v>53</v>
      </c>
      <c r="C58" s="5" t="s">
        <v>182</v>
      </c>
      <c r="D58" s="5" t="s">
        <v>183</v>
      </c>
      <c r="E58" s="5" t="s">
        <v>184</v>
      </c>
      <c r="F58" s="7">
        <v>46248.606249999997</v>
      </c>
      <c r="G58" s="7">
        <v>46248.65625</v>
      </c>
      <c r="H58" s="8">
        <v>480</v>
      </c>
      <c r="I58" s="9">
        <v>0</v>
      </c>
      <c r="J58" s="10">
        <f t="shared" si="2"/>
        <v>0</v>
      </c>
      <c r="K58" s="8">
        <v>0</v>
      </c>
      <c r="L58" s="5">
        <v>812</v>
      </c>
      <c r="N58" s="5">
        <f>TabelaBaseTarefas[[#This Row],[Linha Banco de Dados]]+2</f>
        <v>814</v>
      </c>
    </row>
    <row r="59" spans="1:14">
      <c r="A59" s="6">
        <v>119</v>
      </c>
      <c r="B59" s="5" t="s">
        <v>53</v>
      </c>
      <c r="C59" s="5" t="s">
        <v>182</v>
      </c>
      <c r="D59" s="5" t="s">
        <v>185</v>
      </c>
      <c r="E59" s="5" t="s">
        <v>186</v>
      </c>
      <c r="F59" s="7">
        <v>46248.65625</v>
      </c>
      <c r="G59" s="7">
        <v>46251.336111111108</v>
      </c>
      <c r="H59" s="8">
        <v>525.20000000000005</v>
      </c>
      <c r="I59" s="9">
        <v>0</v>
      </c>
      <c r="J59" s="10">
        <f t="shared" si="2"/>
        <v>0</v>
      </c>
      <c r="K59" s="8">
        <v>0</v>
      </c>
      <c r="L59" s="5">
        <v>824</v>
      </c>
      <c r="N59" s="5">
        <f>TabelaBaseTarefas[[#This Row],[Linha Banco de Dados]]+2</f>
        <v>826</v>
      </c>
    </row>
    <row r="60" spans="1:14">
      <c r="A60" s="6">
        <v>120</v>
      </c>
      <c r="B60" s="5" t="s">
        <v>53</v>
      </c>
      <c r="C60" s="5" t="s">
        <v>182</v>
      </c>
      <c r="D60" s="5" t="s">
        <v>187</v>
      </c>
      <c r="E60" s="5" t="s">
        <v>188</v>
      </c>
      <c r="F60" s="7">
        <v>46251.336111111108</v>
      </c>
      <c r="G60" s="7">
        <v>46251.390277777777</v>
      </c>
      <c r="H60" s="8">
        <v>518.4</v>
      </c>
      <c r="I60" s="9">
        <v>0</v>
      </c>
      <c r="J60" s="10">
        <f t="shared" si="2"/>
        <v>0</v>
      </c>
      <c r="K60" s="8">
        <v>0</v>
      </c>
      <c r="L60" s="5">
        <v>837</v>
      </c>
      <c r="N60" s="5">
        <f>TabelaBaseTarefas[[#This Row],[Linha Banco de Dados]]+2</f>
        <v>839</v>
      </c>
    </row>
    <row r="61" spans="1:14">
      <c r="A61" s="6">
        <v>121</v>
      </c>
      <c r="B61" s="5" t="s">
        <v>53</v>
      </c>
      <c r="C61" s="5" t="s">
        <v>182</v>
      </c>
      <c r="D61" s="5" t="s">
        <v>189</v>
      </c>
      <c r="E61" s="5" t="s">
        <v>190</v>
      </c>
      <c r="F61" s="7">
        <v>46251.390277777777</v>
      </c>
      <c r="G61" s="7">
        <v>46251.445833333331</v>
      </c>
      <c r="H61" s="8">
        <v>535.20000000000005</v>
      </c>
      <c r="I61" s="9">
        <v>0</v>
      </c>
      <c r="J61" s="10">
        <f t="shared" si="2"/>
        <v>0</v>
      </c>
      <c r="K61" s="8">
        <v>0</v>
      </c>
      <c r="L61" s="5">
        <v>849</v>
      </c>
      <c r="N61" s="5">
        <f>TabelaBaseTarefas[[#This Row],[Linha Banco de Dados]]+2</f>
        <v>851</v>
      </c>
    </row>
    <row r="62" spans="1:14">
      <c r="A62" s="6">
        <v>122</v>
      </c>
      <c r="B62" s="5" t="s">
        <v>53</v>
      </c>
      <c r="C62" s="5" t="s">
        <v>191</v>
      </c>
      <c r="D62" s="5" t="s">
        <v>192</v>
      </c>
      <c r="E62" s="5" t="s">
        <v>193</v>
      </c>
      <c r="F62" s="7">
        <v>46251.445833333331</v>
      </c>
      <c r="G62" s="7">
        <v>46251.545138888891</v>
      </c>
      <c r="H62" s="8">
        <v>555.20000000000005</v>
      </c>
      <c r="I62" s="9">
        <v>0</v>
      </c>
      <c r="J62" s="10">
        <f t="shared" si="2"/>
        <v>0</v>
      </c>
      <c r="K62" s="8">
        <v>0</v>
      </c>
      <c r="L62" s="5">
        <v>861</v>
      </c>
      <c r="N62" s="5">
        <f>TabelaBaseTarefas[[#This Row],[Linha Banco de Dados]]+2</f>
        <v>863</v>
      </c>
    </row>
    <row r="63" spans="1:14">
      <c r="A63" s="6">
        <v>123</v>
      </c>
      <c r="B63" s="5" t="s">
        <v>53</v>
      </c>
      <c r="C63" s="5" t="s">
        <v>191</v>
      </c>
      <c r="D63" s="5" t="s">
        <v>194</v>
      </c>
      <c r="E63" s="5" t="s">
        <v>195</v>
      </c>
      <c r="F63" s="7">
        <v>46251.545138888891</v>
      </c>
      <c r="G63" s="7">
        <v>46251.606249999997</v>
      </c>
      <c r="H63" s="8">
        <v>588.4</v>
      </c>
      <c r="I63" s="9">
        <v>0</v>
      </c>
      <c r="J63" s="10">
        <f t="shared" si="2"/>
        <v>0</v>
      </c>
      <c r="K63" s="8">
        <v>0</v>
      </c>
      <c r="L63" s="5">
        <v>873</v>
      </c>
      <c r="N63" s="5">
        <f>TabelaBaseTarefas[[#This Row],[Linha Banco de Dados]]+2</f>
        <v>875</v>
      </c>
    </row>
    <row r="64" spans="1:14">
      <c r="A64" s="6">
        <v>124</v>
      </c>
      <c r="B64" s="5" t="s">
        <v>53</v>
      </c>
      <c r="C64" s="5" t="s">
        <v>191</v>
      </c>
      <c r="D64" s="5" t="s">
        <v>196</v>
      </c>
      <c r="E64" s="5" t="s">
        <v>197</v>
      </c>
      <c r="F64" s="7">
        <v>46251.606249999997</v>
      </c>
      <c r="G64" s="7">
        <v>46251.666666666664</v>
      </c>
      <c r="H64" s="8">
        <v>578.79999999999995</v>
      </c>
      <c r="I64" s="9">
        <v>0</v>
      </c>
      <c r="J64" s="10">
        <f t="shared" si="2"/>
        <v>0</v>
      </c>
      <c r="K64" s="8">
        <v>0</v>
      </c>
      <c r="L64" s="5">
        <v>885</v>
      </c>
      <c r="N64" s="5">
        <f>TabelaBaseTarefas[[#This Row],[Linha Banco de Dados]]+2</f>
        <v>887</v>
      </c>
    </row>
    <row r="65" spans="1:14">
      <c r="A65" s="6">
        <v>125</v>
      </c>
      <c r="B65" s="5" t="s">
        <v>53</v>
      </c>
      <c r="C65" s="5" t="s">
        <v>198</v>
      </c>
      <c r="D65" s="5" t="s">
        <v>199</v>
      </c>
      <c r="E65" s="5" t="s">
        <v>200</v>
      </c>
      <c r="F65" s="7">
        <v>46251.666666666664</v>
      </c>
      <c r="G65" s="7">
        <v>46251.683333333334</v>
      </c>
      <c r="H65" s="8">
        <v>157.6</v>
      </c>
      <c r="I65" s="9">
        <v>0</v>
      </c>
      <c r="J65" s="10">
        <f t="shared" si="2"/>
        <v>0</v>
      </c>
      <c r="K65" s="8">
        <v>0</v>
      </c>
      <c r="L65" s="5">
        <v>898</v>
      </c>
      <c r="N65" s="5">
        <f>TabelaBaseTarefas[[#This Row],[Linha Banco de Dados]]+2</f>
        <v>900</v>
      </c>
    </row>
    <row r="66" spans="1:14">
      <c r="A66" s="6">
        <v>126</v>
      </c>
      <c r="B66" s="5" t="s">
        <v>53</v>
      </c>
      <c r="C66" s="5" t="s">
        <v>198</v>
      </c>
      <c r="D66" s="5" t="s">
        <v>201</v>
      </c>
      <c r="E66" s="5" t="s">
        <v>202</v>
      </c>
      <c r="F66" s="7">
        <v>46251.683333333334</v>
      </c>
      <c r="G66" s="7">
        <v>46252.380555555559</v>
      </c>
      <c r="H66" s="8">
        <v>692.8</v>
      </c>
      <c r="I66" s="9">
        <v>0</v>
      </c>
      <c r="J66" s="10">
        <f t="shared" si="2"/>
        <v>0</v>
      </c>
      <c r="K66" s="8">
        <v>0</v>
      </c>
      <c r="L66" s="5">
        <v>905</v>
      </c>
      <c r="N66" s="5">
        <f>TabelaBaseTarefas[[#This Row],[Linha Banco de Dados]]+2</f>
        <v>907</v>
      </c>
    </row>
    <row r="67" spans="1:14">
      <c r="A67" s="6">
        <v>127</v>
      </c>
      <c r="B67" s="5" t="s">
        <v>53</v>
      </c>
      <c r="C67" s="5" t="s">
        <v>198</v>
      </c>
      <c r="D67" s="5" t="s">
        <v>203</v>
      </c>
      <c r="E67" s="5" t="s">
        <v>204</v>
      </c>
      <c r="F67" s="7">
        <v>46252.380555555559</v>
      </c>
      <c r="G67" s="7">
        <v>46252.45208333333</v>
      </c>
      <c r="H67" s="8">
        <v>689.6</v>
      </c>
      <c r="I67" s="9">
        <v>0</v>
      </c>
      <c r="J67" s="10">
        <f t="shared" si="2"/>
        <v>0</v>
      </c>
      <c r="K67" s="8">
        <v>0</v>
      </c>
      <c r="L67" s="5">
        <v>912</v>
      </c>
      <c r="N67" s="5">
        <f>TabelaBaseTarefas[[#This Row],[Linha Banco de Dados]]+2</f>
        <v>914</v>
      </c>
    </row>
    <row r="68" spans="1:14">
      <c r="A68" s="6">
        <v>128</v>
      </c>
      <c r="B68" s="5" t="s">
        <v>53</v>
      </c>
      <c r="C68" s="5" t="s">
        <v>198</v>
      </c>
      <c r="D68" s="5" t="s">
        <v>205</v>
      </c>
      <c r="E68" s="5" t="s">
        <v>206</v>
      </c>
      <c r="F68" s="7">
        <v>46252.45208333333</v>
      </c>
      <c r="G68" s="7">
        <v>46252.47152777778</v>
      </c>
      <c r="H68" s="8">
        <v>184.4</v>
      </c>
      <c r="I68" s="9">
        <v>0</v>
      </c>
      <c r="J68" s="10">
        <f t="shared" si="2"/>
        <v>0</v>
      </c>
      <c r="K68" s="8">
        <v>0</v>
      </c>
      <c r="L68" s="5">
        <v>919</v>
      </c>
      <c r="N68" s="5">
        <f>TabelaBaseTarefas[[#This Row],[Linha Banco de Dados]]+2</f>
        <v>921</v>
      </c>
    </row>
    <row r="69" spans="1:14">
      <c r="A69" s="6">
        <v>129</v>
      </c>
      <c r="B69" s="5" t="s">
        <v>53</v>
      </c>
      <c r="C69" s="5" t="s">
        <v>198</v>
      </c>
      <c r="D69" s="5" t="s">
        <v>207</v>
      </c>
      <c r="E69" s="5" t="s">
        <v>208</v>
      </c>
      <c r="F69" s="7">
        <v>46252.47152777778</v>
      </c>
      <c r="G69" s="7">
        <v>46252.488194444442</v>
      </c>
      <c r="H69" s="8">
        <v>158.4</v>
      </c>
      <c r="I69" s="9">
        <v>0</v>
      </c>
      <c r="J69" s="10">
        <f t="shared" si="2"/>
        <v>0</v>
      </c>
      <c r="K69" s="8">
        <v>0</v>
      </c>
      <c r="L69" s="5">
        <v>927</v>
      </c>
      <c r="N69" s="5">
        <f>TabelaBaseTarefas[[#This Row],[Linha Banco de Dados]]+2</f>
        <v>929</v>
      </c>
    </row>
    <row r="70" spans="1:14">
      <c r="A70" s="6">
        <v>130</v>
      </c>
      <c r="B70" s="5" t="s">
        <v>53</v>
      </c>
      <c r="C70" s="5" t="s">
        <v>209</v>
      </c>
      <c r="D70" s="5" t="s">
        <v>210</v>
      </c>
      <c r="E70" s="5" t="s">
        <v>211</v>
      </c>
      <c r="F70" s="7">
        <v>46252.488194444442</v>
      </c>
      <c r="G70" s="7">
        <v>46252.546527777777</v>
      </c>
      <c r="H70" s="8">
        <v>157.6</v>
      </c>
      <c r="I70" s="9">
        <v>0</v>
      </c>
      <c r="J70" s="10">
        <f t="shared" si="2"/>
        <v>0</v>
      </c>
      <c r="K70" s="8">
        <v>0</v>
      </c>
      <c r="L70" s="5">
        <v>934</v>
      </c>
      <c r="N70" s="5">
        <f>TabelaBaseTarefas[[#This Row],[Linha Banco de Dados]]+2</f>
        <v>936</v>
      </c>
    </row>
    <row r="71" spans="1:14">
      <c r="A71" s="6">
        <v>131</v>
      </c>
      <c r="B71" s="5" t="s">
        <v>53</v>
      </c>
      <c r="C71" s="5" t="s">
        <v>209</v>
      </c>
      <c r="D71" s="5" t="s">
        <v>212</v>
      </c>
      <c r="E71" s="5" t="s">
        <v>213</v>
      </c>
      <c r="F71" s="7">
        <v>46252.546527777777</v>
      </c>
      <c r="G71" s="7">
        <v>46252.618750000001</v>
      </c>
      <c r="H71" s="8">
        <v>692.8</v>
      </c>
      <c r="I71" s="9">
        <v>0</v>
      </c>
      <c r="J71" s="10">
        <f t="shared" si="2"/>
        <v>0</v>
      </c>
      <c r="K71" s="8">
        <v>0</v>
      </c>
      <c r="L71" s="5">
        <v>941</v>
      </c>
      <c r="N71" s="5">
        <f>TabelaBaseTarefas[[#This Row],[Linha Banco de Dados]]+2</f>
        <v>943</v>
      </c>
    </row>
    <row r="72" spans="1:14">
      <c r="A72" s="6">
        <v>132</v>
      </c>
      <c r="B72" s="5" t="s">
        <v>53</v>
      </c>
      <c r="C72" s="5" t="s">
        <v>209</v>
      </c>
      <c r="D72" s="5" t="s">
        <v>214</v>
      </c>
      <c r="E72" s="5" t="s">
        <v>215</v>
      </c>
      <c r="F72" s="7">
        <v>46252.618750000001</v>
      </c>
      <c r="G72" s="7">
        <v>46252.69027777778</v>
      </c>
      <c r="H72" s="8">
        <v>689.6</v>
      </c>
      <c r="I72" s="9">
        <v>0</v>
      </c>
      <c r="J72" s="10">
        <f t="shared" si="2"/>
        <v>0</v>
      </c>
      <c r="K72" s="8">
        <v>0</v>
      </c>
      <c r="L72" s="5">
        <v>948</v>
      </c>
      <c r="N72" s="5">
        <f>TabelaBaseTarefas[[#This Row],[Linha Banco de Dados]]+2</f>
        <v>950</v>
      </c>
    </row>
    <row r="73" spans="1:14">
      <c r="A73" s="6">
        <v>133</v>
      </c>
      <c r="B73" s="5" t="s">
        <v>53</v>
      </c>
      <c r="C73" s="5" t="s">
        <v>209</v>
      </c>
      <c r="D73" s="5" t="s">
        <v>216</v>
      </c>
      <c r="E73" s="5" t="s">
        <v>217</v>
      </c>
      <c r="F73" s="7">
        <v>46252.69027777778</v>
      </c>
      <c r="G73" s="7">
        <v>46253.334722222222</v>
      </c>
      <c r="H73" s="8">
        <v>184.4</v>
      </c>
      <c r="I73" s="9">
        <v>0</v>
      </c>
      <c r="J73" s="10">
        <f t="shared" si="2"/>
        <v>0</v>
      </c>
      <c r="K73" s="8">
        <v>0</v>
      </c>
      <c r="L73" s="5">
        <v>955</v>
      </c>
      <c r="N73" s="5">
        <f>TabelaBaseTarefas[[#This Row],[Linha Banco de Dados]]+2</f>
        <v>957</v>
      </c>
    </row>
    <row r="74" spans="1:14">
      <c r="A74" s="6">
        <v>134</v>
      </c>
      <c r="B74" s="5" t="s">
        <v>53</v>
      </c>
      <c r="C74" s="5" t="s">
        <v>209</v>
      </c>
      <c r="D74" s="5" t="s">
        <v>218</v>
      </c>
      <c r="E74" s="5" t="s">
        <v>219</v>
      </c>
      <c r="F74" s="7">
        <v>46253.334722222222</v>
      </c>
      <c r="G74" s="7">
        <v>46253.351388888892</v>
      </c>
      <c r="H74" s="8">
        <v>158.4</v>
      </c>
      <c r="I74" s="9">
        <v>0</v>
      </c>
      <c r="J74" s="10">
        <f t="shared" si="2"/>
        <v>0</v>
      </c>
      <c r="K74" s="8">
        <v>0</v>
      </c>
      <c r="L74" s="5">
        <v>963</v>
      </c>
      <c r="N74" s="5">
        <f>TabelaBaseTarefas[[#This Row],[Linha Banco de Dados]]+2</f>
        <v>965</v>
      </c>
    </row>
    <row r="75" spans="1:14">
      <c r="A75" s="6">
        <v>135</v>
      </c>
      <c r="B75" s="5" t="s">
        <v>53</v>
      </c>
      <c r="C75" s="5" t="s">
        <v>220</v>
      </c>
      <c r="E75" s="5" t="s">
        <v>56</v>
      </c>
      <c r="F75" s="7">
        <v>46253.351388888892</v>
      </c>
      <c r="G75" s="7">
        <v>46253.356944444444</v>
      </c>
      <c r="H75" s="8">
        <v>56.5</v>
      </c>
      <c r="I75" s="9">
        <v>0</v>
      </c>
      <c r="J75" s="10">
        <f t="shared" si="2"/>
        <v>0</v>
      </c>
      <c r="K75" s="8">
        <v>0</v>
      </c>
      <c r="L75" s="5">
        <v>970</v>
      </c>
      <c r="N75" s="5">
        <f>TabelaBaseTarefas[[#This Row],[Linha Banco de Dados]]+2</f>
        <v>972</v>
      </c>
    </row>
    <row r="76" spans="1:14">
      <c r="A76" s="6">
        <v>136</v>
      </c>
      <c r="B76" s="5" t="s">
        <v>53</v>
      </c>
      <c r="C76" s="5" t="s">
        <v>221</v>
      </c>
      <c r="D76" s="5" t="s">
        <v>222</v>
      </c>
      <c r="E76" s="5" t="s">
        <v>223</v>
      </c>
      <c r="F76" s="7">
        <v>46253.356944444444</v>
      </c>
      <c r="G76" s="7">
        <v>46253.439583333333</v>
      </c>
      <c r="H76" s="8">
        <v>795.6</v>
      </c>
      <c r="I76" s="9">
        <v>0</v>
      </c>
      <c r="J76" s="10">
        <f t="shared" si="2"/>
        <v>0</v>
      </c>
      <c r="K76" s="8">
        <v>0</v>
      </c>
      <c r="L76" s="5">
        <v>977</v>
      </c>
      <c r="N76" s="5">
        <f>TabelaBaseTarefas[[#This Row],[Linha Banco de Dados]]+2</f>
        <v>979</v>
      </c>
    </row>
    <row r="77" spans="1:14">
      <c r="A77" s="6">
        <v>137</v>
      </c>
      <c r="B77" s="5" t="s">
        <v>53</v>
      </c>
      <c r="C77" s="5" t="s">
        <v>221</v>
      </c>
      <c r="D77" s="5" t="s">
        <v>224</v>
      </c>
      <c r="E77" s="5" t="s">
        <v>225</v>
      </c>
      <c r="F77" s="7">
        <v>46253.439583333333</v>
      </c>
      <c r="G77" s="7">
        <v>46253.563888888886</v>
      </c>
      <c r="H77" s="8">
        <v>795.6</v>
      </c>
      <c r="I77" s="9">
        <v>0</v>
      </c>
      <c r="J77" s="10">
        <f t="shared" si="2"/>
        <v>0</v>
      </c>
      <c r="K77" s="8">
        <v>0</v>
      </c>
      <c r="L77" s="5">
        <v>978</v>
      </c>
      <c r="N77" s="5">
        <f>TabelaBaseTarefas[[#This Row],[Linha Banco de Dados]]+2</f>
        <v>980</v>
      </c>
    </row>
    <row r="78" spans="1:14">
      <c r="A78" s="6">
        <v>138</v>
      </c>
      <c r="B78" s="5" t="s">
        <v>53</v>
      </c>
      <c r="C78" s="5" t="s">
        <v>221</v>
      </c>
      <c r="D78" s="5" t="s">
        <v>226</v>
      </c>
      <c r="E78" s="5" t="s">
        <v>227</v>
      </c>
      <c r="F78" s="7">
        <v>46253.563888888886</v>
      </c>
      <c r="G78" s="7">
        <v>46253.708333333336</v>
      </c>
      <c r="H78" s="8">
        <v>1389.6</v>
      </c>
      <c r="I78" s="9">
        <v>0</v>
      </c>
      <c r="J78" s="10">
        <f t="shared" ref="J78:J108" si="3">IF(H78=0,0,I78/H78)</f>
        <v>0</v>
      </c>
      <c r="K78" s="8">
        <v>0</v>
      </c>
      <c r="L78" s="5">
        <v>983</v>
      </c>
      <c r="N78" s="5">
        <f>TabelaBaseTarefas[[#This Row],[Linha Banco de Dados]]+2</f>
        <v>985</v>
      </c>
    </row>
    <row r="79" spans="1:14">
      <c r="A79" s="6">
        <v>139</v>
      </c>
      <c r="B79" s="5" t="s">
        <v>53</v>
      </c>
      <c r="C79" s="5" t="s">
        <v>221</v>
      </c>
      <c r="D79" s="5" t="s">
        <v>228</v>
      </c>
      <c r="E79" s="5" t="s">
        <v>229</v>
      </c>
      <c r="F79" s="7">
        <v>46253.708333333336</v>
      </c>
      <c r="G79" s="7">
        <v>46254.477777777778</v>
      </c>
      <c r="H79" s="8">
        <v>1389.6</v>
      </c>
      <c r="I79" s="9">
        <v>0</v>
      </c>
      <c r="J79" s="10">
        <f t="shared" si="3"/>
        <v>0</v>
      </c>
      <c r="K79" s="8">
        <v>0</v>
      </c>
      <c r="L79" s="5">
        <v>984</v>
      </c>
      <c r="N79" s="5">
        <f>TabelaBaseTarefas[[#This Row],[Linha Banco de Dados]]+2</f>
        <v>986</v>
      </c>
    </row>
    <row r="80" spans="1:14">
      <c r="A80" s="6">
        <v>140</v>
      </c>
      <c r="B80" s="5" t="s">
        <v>53</v>
      </c>
      <c r="C80" s="5" t="s">
        <v>221</v>
      </c>
      <c r="D80" s="5" t="s">
        <v>230</v>
      </c>
      <c r="E80" s="5" t="s">
        <v>231</v>
      </c>
      <c r="F80" s="7">
        <v>46254.477777777778</v>
      </c>
      <c r="G80" s="7">
        <v>46254.658333333333</v>
      </c>
      <c r="H80" s="8">
        <v>1334.4</v>
      </c>
      <c r="I80" s="9">
        <v>0</v>
      </c>
      <c r="J80" s="10">
        <f t="shared" si="3"/>
        <v>0</v>
      </c>
      <c r="K80" s="8">
        <v>0</v>
      </c>
      <c r="L80" s="5">
        <v>993</v>
      </c>
      <c r="N80" s="5">
        <f>TabelaBaseTarefas[[#This Row],[Linha Banco de Dados]]+2</f>
        <v>995</v>
      </c>
    </row>
    <row r="81" spans="1:14">
      <c r="A81" s="6">
        <v>141</v>
      </c>
      <c r="B81" s="5" t="s">
        <v>53</v>
      </c>
      <c r="C81" s="5" t="s">
        <v>221</v>
      </c>
      <c r="D81" s="5" t="s">
        <v>232</v>
      </c>
      <c r="E81" s="5" t="s">
        <v>233</v>
      </c>
      <c r="F81" s="7">
        <v>46254.658333333333</v>
      </c>
      <c r="G81" s="7">
        <v>46255.422222222223</v>
      </c>
      <c r="H81" s="8">
        <v>1334.4</v>
      </c>
      <c r="I81" s="9">
        <v>0</v>
      </c>
      <c r="J81" s="10">
        <f t="shared" si="3"/>
        <v>0</v>
      </c>
      <c r="K81" s="8">
        <v>0</v>
      </c>
      <c r="L81" s="5">
        <v>994</v>
      </c>
      <c r="N81" s="5">
        <f>TabelaBaseTarefas[[#This Row],[Linha Banco de Dados]]+2</f>
        <v>996</v>
      </c>
    </row>
    <row r="82" spans="1:14">
      <c r="A82" s="6">
        <v>142</v>
      </c>
      <c r="B82" s="5" t="s">
        <v>53</v>
      </c>
      <c r="C82" s="5" t="s">
        <v>221</v>
      </c>
      <c r="D82" s="5" t="s">
        <v>234</v>
      </c>
      <c r="E82" s="5" t="s">
        <v>235</v>
      </c>
      <c r="F82" s="7">
        <v>46255.422222222223</v>
      </c>
      <c r="G82" s="7">
        <v>46255.497916666667</v>
      </c>
      <c r="H82" s="8">
        <v>728.8</v>
      </c>
      <c r="I82" s="9">
        <v>0</v>
      </c>
      <c r="J82" s="10">
        <f t="shared" si="3"/>
        <v>0</v>
      </c>
      <c r="K82" s="8">
        <v>0</v>
      </c>
      <c r="L82" s="5">
        <v>999</v>
      </c>
      <c r="N82" s="5">
        <f>TabelaBaseTarefas[[#This Row],[Linha Banco de Dados]]+2</f>
        <v>1001</v>
      </c>
    </row>
    <row r="83" spans="1:14">
      <c r="A83" s="6">
        <v>143</v>
      </c>
      <c r="B83" s="5" t="s">
        <v>53</v>
      </c>
      <c r="C83" s="5" t="s">
        <v>221</v>
      </c>
      <c r="D83" s="5" t="s">
        <v>236</v>
      </c>
      <c r="E83" s="5" t="s">
        <v>237</v>
      </c>
      <c r="F83" s="7">
        <v>46255.497916666667</v>
      </c>
      <c r="G83" s="7">
        <v>46255.615277777775</v>
      </c>
      <c r="H83" s="8">
        <v>728.8</v>
      </c>
      <c r="I83" s="9">
        <v>0</v>
      </c>
      <c r="J83" s="10">
        <f t="shared" si="3"/>
        <v>0</v>
      </c>
      <c r="K83" s="8">
        <v>0</v>
      </c>
      <c r="L83" s="5">
        <v>1000</v>
      </c>
      <c r="N83" s="5">
        <f>TabelaBaseTarefas[[#This Row],[Linha Banco de Dados]]+2</f>
        <v>1002</v>
      </c>
    </row>
    <row r="84" spans="1:14">
      <c r="A84" s="6">
        <v>144</v>
      </c>
      <c r="B84" s="5" t="s">
        <v>53</v>
      </c>
      <c r="C84" s="5" t="s">
        <v>221</v>
      </c>
      <c r="D84" s="5" t="s">
        <v>238</v>
      </c>
      <c r="E84" s="5" t="s">
        <v>239</v>
      </c>
      <c r="F84" s="7">
        <v>46255.615277777775</v>
      </c>
      <c r="G84" s="7">
        <v>46255.62222222222</v>
      </c>
      <c r="H84" s="8">
        <v>67.2</v>
      </c>
      <c r="I84" s="9">
        <v>0</v>
      </c>
      <c r="J84" s="10">
        <f t="shared" si="3"/>
        <v>0</v>
      </c>
      <c r="K84" s="8">
        <v>0</v>
      </c>
      <c r="L84" s="5">
        <v>1009</v>
      </c>
      <c r="N84" s="5">
        <f>TabelaBaseTarefas[[#This Row],[Linha Banco de Dados]]+2</f>
        <v>1011</v>
      </c>
    </row>
    <row r="85" spans="1:14">
      <c r="A85" s="6">
        <v>145</v>
      </c>
      <c r="B85" s="5" t="s">
        <v>53</v>
      </c>
      <c r="C85" s="5" t="s">
        <v>240</v>
      </c>
      <c r="D85" s="5" t="s">
        <v>241</v>
      </c>
      <c r="E85" s="5" t="s">
        <v>242</v>
      </c>
      <c r="F85" s="7">
        <v>46255.62222222222</v>
      </c>
      <c r="G85" s="7">
        <v>46255.695138888892</v>
      </c>
      <c r="H85" s="8">
        <v>701.2</v>
      </c>
      <c r="I85" s="9">
        <v>0</v>
      </c>
      <c r="J85" s="10">
        <f t="shared" si="3"/>
        <v>0</v>
      </c>
      <c r="K85" s="8">
        <v>0</v>
      </c>
      <c r="L85" s="5">
        <v>1013</v>
      </c>
      <c r="N85" s="5">
        <f>TabelaBaseTarefas[[#This Row],[Linha Banco de Dados]]+2</f>
        <v>1015</v>
      </c>
    </row>
    <row r="86" spans="1:14">
      <c r="A86" s="6">
        <v>146</v>
      </c>
      <c r="B86" s="5" t="s">
        <v>53</v>
      </c>
      <c r="C86" s="5" t="s">
        <v>240</v>
      </c>
      <c r="D86" s="5" t="s">
        <v>243</v>
      </c>
      <c r="E86" s="5" t="s">
        <v>244</v>
      </c>
      <c r="F86" s="7">
        <v>46255.695138888892</v>
      </c>
      <c r="G86" s="7">
        <v>46258.393055555556</v>
      </c>
      <c r="H86" s="8">
        <v>701.2</v>
      </c>
      <c r="I86" s="9">
        <v>0</v>
      </c>
      <c r="J86" s="10">
        <f t="shared" si="3"/>
        <v>0</v>
      </c>
      <c r="K86" s="8">
        <v>0</v>
      </c>
      <c r="L86" s="5">
        <v>1014</v>
      </c>
      <c r="N86" s="5">
        <f>TabelaBaseTarefas[[#This Row],[Linha Banco de Dados]]+2</f>
        <v>1016</v>
      </c>
    </row>
    <row r="87" spans="1:14">
      <c r="A87" s="6">
        <v>147</v>
      </c>
      <c r="B87" s="5" t="s">
        <v>53</v>
      </c>
      <c r="C87" s="5" t="s">
        <v>240</v>
      </c>
      <c r="D87" s="5" t="s">
        <v>245</v>
      </c>
      <c r="E87" s="5" t="s">
        <v>246</v>
      </c>
      <c r="F87" s="7">
        <v>46258.393055555556</v>
      </c>
      <c r="G87" s="7">
        <v>46258.46597222222</v>
      </c>
      <c r="H87" s="8">
        <v>701.2</v>
      </c>
      <c r="I87" s="9">
        <v>0</v>
      </c>
      <c r="J87" s="10">
        <f t="shared" si="3"/>
        <v>0</v>
      </c>
      <c r="K87" s="8">
        <v>0</v>
      </c>
      <c r="L87" s="5">
        <v>1023</v>
      </c>
      <c r="N87" s="5">
        <f>TabelaBaseTarefas[[#This Row],[Linha Banco de Dados]]+2</f>
        <v>1025</v>
      </c>
    </row>
    <row r="88" spans="1:14">
      <c r="A88" s="6">
        <v>148</v>
      </c>
      <c r="B88" s="5" t="s">
        <v>53</v>
      </c>
      <c r="C88" s="5" t="s">
        <v>240</v>
      </c>
      <c r="D88" s="5" t="s">
        <v>247</v>
      </c>
      <c r="E88" s="5" t="s">
        <v>248</v>
      </c>
      <c r="F88" s="7">
        <v>46258.46597222222</v>
      </c>
      <c r="G88" s="7">
        <v>46258.580555555556</v>
      </c>
      <c r="H88" s="8">
        <v>701.2</v>
      </c>
      <c r="I88" s="9">
        <v>0</v>
      </c>
      <c r="J88" s="10">
        <f t="shared" si="3"/>
        <v>0</v>
      </c>
      <c r="K88" s="8">
        <v>0</v>
      </c>
      <c r="L88" s="5">
        <v>1024</v>
      </c>
      <c r="N88" s="5">
        <f>TabelaBaseTarefas[[#This Row],[Linha Banco de Dados]]+2</f>
        <v>1026</v>
      </c>
    </row>
    <row r="89" spans="1:14">
      <c r="A89" s="6">
        <v>149</v>
      </c>
      <c r="B89" s="5" t="s">
        <v>53</v>
      </c>
      <c r="C89" s="5" t="s">
        <v>240</v>
      </c>
      <c r="D89" s="5" t="s">
        <v>249</v>
      </c>
      <c r="E89" s="5" t="s">
        <v>250</v>
      </c>
      <c r="F89" s="7">
        <v>46258.580555555556</v>
      </c>
      <c r="G89" s="7">
        <v>46258.652777777781</v>
      </c>
      <c r="H89" s="8">
        <v>694.8</v>
      </c>
      <c r="I89" s="9">
        <v>0</v>
      </c>
      <c r="J89" s="10">
        <f t="shared" si="3"/>
        <v>0</v>
      </c>
      <c r="K89" s="8">
        <v>0</v>
      </c>
      <c r="L89" s="5">
        <v>1033</v>
      </c>
      <c r="N89" s="5">
        <f>TabelaBaseTarefas[[#This Row],[Linha Banco de Dados]]+2</f>
        <v>1035</v>
      </c>
    </row>
    <row r="90" spans="1:14">
      <c r="A90" s="6">
        <v>150</v>
      </c>
      <c r="B90" s="5" t="s">
        <v>53</v>
      </c>
      <c r="C90" s="5" t="s">
        <v>240</v>
      </c>
      <c r="D90" s="5" t="s">
        <v>251</v>
      </c>
      <c r="E90" s="5" t="s">
        <v>252</v>
      </c>
      <c r="F90" s="7">
        <v>46258.652777777781</v>
      </c>
      <c r="G90" s="7">
        <v>46259.35</v>
      </c>
      <c r="H90" s="8">
        <v>694.8</v>
      </c>
      <c r="I90" s="9">
        <v>0</v>
      </c>
      <c r="J90" s="10">
        <f t="shared" si="3"/>
        <v>0</v>
      </c>
      <c r="K90" s="8">
        <v>0</v>
      </c>
      <c r="L90" s="5">
        <v>1034</v>
      </c>
      <c r="N90" s="5">
        <f>TabelaBaseTarefas[[#This Row],[Linha Banco de Dados]]+2</f>
        <v>1036</v>
      </c>
    </row>
    <row r="91" spans="1:14">
      <c r="A91" s="6">
        <v>151</v>
      </c>
      <c r="B91" s="5" t="s">
        <v>53</v>
      </c>
      <c r="C91" s="5" t="s">
        <v>240</v>
      </c>
      <c r="D91" s="5" t="s">
        <v>234</v>
      </c>
      <c r="E91" s="5" t="s">
        <v>253</v>
      </c>
      <c r="F91" s="7">
        <v>46259.35</v>
      </c>
      <c r="G91" s="7">
        <v>46259.432638888888</v>
      </c>
      <c r="H91" s="8">
        <v>795.6</v>
      </c>
      <c r="I91" s="9">
        <v>0</v>
      </c>
      <c r="J91" s="10">
        <f t="shared" si="3"/>
        <v>0</v>
      </c>
      <c r="K91" s="8">
        <v>0</v>
      </c>
      <c r="L91" s="5">
        <v>1043</v>
      </c>
      <c r="N91" s="5">
        <f>TabelaBaseTarefas[[#This Row],[Linha Banco de Dados]]+2</f>
        <v>1045</v>
      </c>
    </row>
    <row r="92" spans="1:14">
      <c r="A92" s="6">
        <v>152</v>
      </c>
      <c r="B92" s="5" t="s">
        <v>53</v>
      </c>
      <c r="C92" s="5" t="s">
        <v>240</v>
      </c>
      <c r="D92" s="5" t="s">
        <v>236</v>
      </c>
      <c r="E92" s="5" t="s">
        <v>254</v>
      </c>
      <c r="F92" s="7">
        <v>46259.432638888888</v>
      </c>
      <c r="G92" s="7">
        <v>46259.556944444441</v>
      </c>
      <c r="H92" s="8">
        <v>795.6</v>
      </c>
      <c r="I92" s="9">
        <v>0</v>
      </c>
      <c r="J92" s="10">
        <f t="shared" si="3"/>
        <v>0</v>
      </c>
      <c r="K92" s="8">
        <v>0</v>
      </c>
      <c r="L92" s="5">
        <v>1044</v>
      </c>
      <c r="N92" s="5">
        <f>TabelaBaseTarefas[[#This Row],[Linha Banco de Dados]]+2</f>
        <v>1046</v>
      </c>
    </row>
    <row r="93" spans="1:14">
      <c r="A93" s="6">
        <v>153</v>
      </c>
      <c r="B93" s="5" t="s">
        <v>53</v>
      </c>
      <c r="C93" s="5" t="s">
        <v>255</v>
      </c>
      <c r="D93" s="5" t="s">
        <v>256</v>
      </c>
      <c r="E93" s="5" t="s">
        <v>257</v>
      </c>
      <c r="F93" s="7">
        <v>46259.556944444441</v>
      </c>
      <c r="G93" s="7">
        <v>46261.339583333334</v>
      </c>
      <c r="H93" s="8">
        <v>4712</v>
      </c>
      <c r="I93" s="9">
        <v>0</v>
      </c>
      <c r="J93" s="10">
        <f t="shared" si="3"/>
        <v>0</v>
      </c>
      <c r="K93" s="8">
        <v>0</v>
      </c>
      <c r="L93" s="5">
        <v>1049</v>
      </c>
      <c r="N93" s="5">
        <f>TabelaBaseTarefas[[#This Row],[Linha Banco de Dados]]+2</f>
        <v>1051</v>
      </c>
    </row>
    <row r="94" spans="1:14">
      <c r="A94" s="6">
        <v>154</v>
      </c>
      <c r="B94" s="5" t="s">
        <v>53</v>
      </c>
      <c r="C94" s="5" t="s">
        <v>255</v>
      </c>
      <c r="D94" s="5" t="s">
        <v>258</v>
      </c>
      <c r="E94" s="5" t="s">
        <v>259</v>
      </c>
      <c r="F94" s="7">
        <v>46261.339583333334</v>
      </c>
      <c r="G94" s="7">
        <v>46262.356249999997</v>
      </c>
      <c r="H94" s="8">
        <v>3360</v>
      </c>
      <c r="I94" s="9">
        <v>0</v>
      </c>
      <c r="J94" s="10">
        <f t="shared" si="3"/>
        <v>0</v>
      </c>
      <c r="K94" s="8">
        <v>0</v>
      </c>
      <c r="L94" s="5">
        <v>1068</v>
      </c>
      <c r="N94" s="5">
        <f>TabelaBaseTarefas[[#This Row],[Linha Banco de Dados]]+2</f>
        <v>1070</v>
      </c>
    </row>
    <row r="95" spans="1:14">
      <c r="A95" s="6">
        <v>155</v>
      </c>
      <c r="B95" s="5" t="s">
        <v>53</v>
      </c>
      <c r="C95" s="5" t="s">
        <v>260</v>
      </c>
      <c r="D95" s="5" t="s">
        <v>261</v>
      </c>
      <c r="E95" s="5" t="s">
        <v>262</v>
      </c>
      <c r="F95" s="7">
        <v>46262.356249999997</v>
      </c>
      <c r="G95" s="7">
        <v>46262.674305555556</v>
      </c>
      <c r="H95" s="8">
        <v>2656</v>
      </c>
      <c r="I95" s="9">
        <v>0</v>
      </c>
      <c r="J95" s="10">
        <f t="shared" si="3"/>
        <v>0</v>
      </c>
      <c r="K95" s="8">
        <v>0</v>
      </c>
      <c r="L95" s="5">
        <v>1072</v>
      </c>
      <c r="N95" s="5">
        <f>TabelaBaseTarefas[[#This Row],[Linha Banco de Dados]]+2</f>
        <v>1074</v>
      </c>
    </row>
    <row r="96" spans="1:14">
      <c r="A96" s="6">
        <v>156</v>
      </c>
      <c r="B96" s="5" t="s">
        <v>53</v>
      </c>
      <c r="C96" s="5" t="s">
        <v>260</v>
      </c>
      <c r="D96" s="5" t="s">
        <v>263</v>
      </c>
      <c r="E96" s="5" t="s">
        <v>264</v>
      </c>
      <c r="F96" s="7">
        <v>46262.674305555556</v>
      </c>
      <c r="G96" s="7">
        <v>46265.409722222219</v>
      </c>
      <c r="H96" s="8">
        <v>1062.4000000000001</v>
      </c>
      <c r="I96" s="9">
        <v>0</v>
      </c>
      <c r="J96" s="10">
        <f t="shared" si="3"/>
        <v>0</v>
      </c>
      <c r="K96" s="8">
        <v>0</v>
      </c>
      <c r="L96" s="5">
        <v>1077</v>
      </c>
      <c r="N96" s="5">
        <f>TabelaBaseTarefas[[#This Row],[Linha Banco de Dados]]+2</f>
        <v>1079</v>
      </c>
    </row>
    <row r="97" spans="1:14">
      <c r="A97" s="6">
        <v>157</v>
      </c>
      <c r="B97" s="5" t="s">
        <v>53</v>
      </c>
      <c r="C97" s="5" t="s">
        <v>260</v>
      </c>
      <c r="D97" s="5" t="s">
        <v>265</v>
      </c>
      <c r="E97" s="5" t="s">
        <v>266</v>
      </c>
      <c r="F97" s="7">
        <v>46265.409722222219</v>
      </c>
      <c r="G97" s="7">
        <v>46265.413194444445</v>
      </c>
      <c r="H97" s="8">
        <v>32</v>
      </c>
      <c r="I97" s="9">
        <v>0</v>
      </c>
      <c r="J97" s="10">
        <f t="shared" si="3"/>
        <v>0</v>
      </c>
      <c r="K97" s="8">
        <v>0</v>
      </c>
      <c r="L97" s="5">
        <v>1082</v>
      </c>
      <c r="N97" s="5">
        <f>TabelaBaseTarefas[[#This Row],[Linha Banco de Dados]]+2</f>
        <v>1084</v>
      </c>
    </row>
    <row r="98" spans="1:14">
      <c r="A98" s="6">
        <v>158</v>
      </c>
      <c r="B98" s="5" t="s">
        <v>53</v>
      </c>
      <c r="C98" s="5" t="s">
        <v>260</v>
      </c>
      <c r="D98" s="5" t="s">
        <v>267</v>
      </c>
      <c r="E98" s="5" t="s">
        <v>268</v>
      </c>
      <c r="F98" s="7">
        <v>46265.413194444445</v>
      </c>
      <c r="G98" s="7">
        <v>46265.469444444447</v>
      </c>
      <c r="H98" s="8">
        <v>537.6</v>
      </c>
      <c r="I98" s="9">
        <v>0</v>
      </c>
      <c r="J98" s="10">
        <f t="shared" si="3"/>
        <v>0</v>
      </c>
      <c r="K98" s="8">
        <v>0</v>
      </c>
      <c r="L98" s="5">
        <v>1085</v>
      </c>
      <c r="N98" s="5">
        <f>TabelaBaseTarefas[[#This Row],[Linha Banco de Dados]]+2</f>
        <v>1087</v>
      </c>
    </row>
    <row r="99" spans="1:14">
      <c r="A99" s="6">
        <v>159</v>
      </c>
      <c r="B99" s="5" t="s">
        <v>53</v>
      </c>
      <c r="C99" s="5" t="s">
        <v>260</v>
      </c>
      <c r="D99" s="5" t="s">
        <v>269</v>
      </c>
      <c r="E99" s="5" t="s">
        <v>270</v>
      </c>
      <c r="F99" s="7">
        <v>46265.469444444447</v>
      </c>
      <c r="G99" s="7">
        <v>46265.488194444442</v>
      </c>
      <c r="H99" s="8">
        <v>182.4</v>
      </c>
      <c r="I99" s="9">
        <v>0</v>
      </c>
      <c r="J99" s="10">
        <f t="shared" si="3"/>
        <v>0</v>
      </c>
      <c r="K99" s="8">
        <v>0</v>
      </c>
      <c r="L99" s="5">
        <v>1087</v>
      </c>
      <c r="N99" s="5">
        <f>TabelaBaseTarefas[[#This Row],[Linha Banco de Dados]]+2</f>
        <v>1089</v>
      </c>
    </row>
    <row r="100" spans="1:14">
      <c r="A100" s="6">
        <v>160</v>
      </c>
      <c r="B100" s="5" t="s">
        <v>53</v>
      </c>
      <c r="C100" s="5" t="s">
        <v>271</v>
      </c>
      <c r="D100" s="5" t="s">
        <v>272</v>
      </c>
      <c r="E100" s="5" t="s">
        <v>273</v>
      </c>
      <c r="F100" s="7">
        <v>46265.488194444442</v>
      </c>
      <c r="G100" s="7">
        <v>46265.683333333334</v>
      </c>
      <c r="H100" s="8">
        <v>1472</v>
      </c>
      <c r="I100" s="9">
        <v>0</v>
      </c>
      <c r="J100" s="10">
        <f t="shared" si="3"/>
        <v>0</v>
      </c>
      <c r="K100" s="8">
        <v>0</v>
      </c>
      <c r="L100" s="5">
        <v>1089</v>
      </c>
      <c r="N100" s="5">
        <f>TabelaBaseTarefas[[#This Row],[Linha Banco de Dados]]+2</f>
        <v>1091</v>
      </c>
    </row>
    <row r="101" spans="1:14">
      <c r="A101" s="6">
        <v>161</v>
      </c>
      <c r="B101" s="5" t="s">
        <v>53</v>
      </c>
      <c r="C101" s="5" t="s">
        <v>271</v>
      </c>
      <c r="D101" s="5" t="s">
        <v>274</v>
      </c>
      <c r="E101" s="5" t="s">
        <v>275</v>
      </c>
      <c r="F101" s="7">
        <v>46265.683333333334</v>
      </c>
      <c r="G101" s="7">
        <v>46265.686805555553</v>
      </c>
      <c r="H101" s="8">
        <v>32</v>
      </c>
      <c r="I101" s="9">
        <v>0</v>
      </c>
      <c r="J101" s="10">
        <f t="shared" si="3"/>
        <v>0</v>
      </c>
      <c r="K101" s="8">
        <v>0</v>
      </c>
      <c r="L101" s="5">
        <v>1103</v>
      </c>
      <c r="N101" s="5">
        <f>TabelaBaseTarefas[[#This Row],[Linha Banco de Dados]]+2</f>
        <v>1105</v>
      </c>
    </row>
    <row r="102" spans="1:14">
      <c r="A102" s="6">
        <v>162</v>
      </c>
      <c r="B102" s="5" t="s">
        <v>53</v>
      </c>
      <c r="C102" s="5" t="s">
        <v>276</v>
      </c>
      <c r="D102" s="5" t="s">
        <v>277</v>
      </c>
      <c r="E102" s="5" t="s">
        <v>278</v>
      </c>
      <c r="F102" s="7">
        <v>46265.686805555553</v>
      </c>
      <c r="G102" s="7">
        <v>46267.468055555553</v>
      </c>
      <c r="H102" s="8">
        <v>4696.8</v>
      </c>
      <c r="I102" s="9">
        <v>0</v>
      </c>
      <c r="J102" s="10">
        <f t="shared" si="3"/>
        <v>0</v>
      </c>
      <c r="K102" s="8">
        <v>0</v>
      </c>
      <c r="L102" s="5">
        <v>1110</v>
      </c>
      <c r="N102" s="5">
        <f>TabelaBaseTarefas[[#This Row],[Linha Banco de Dados]]+2</f>
        <v>1112</v>
      </c>
    </row>
    <row r="103" spans="1:14">
      <c r="A103" s="6">
        <v>163</v>
      </c>
      <c r="B103" s="5" t="s">
        <v>53</v>
      </c>
      <c r="C103" s="5" t="s">
        <v>276</v>
      </c>
      <c r="D103" s="5" t="s">
        <v>279</v>
      </c>
      <c r="E103" s="5" t="s">
        <v>280</v>
      </c>
      <c r="F103" s="7">
        <v>46267.468055555553</v>
      </c>
      <c r="G103" s="7">
        <v>46267.677083333336</v>
      </c>
      <c r="H103" s="8">
        <v>1606.8</v>
      </c>
      <c r="I103" s="9">
        <v>0</v>
      </c>
      <c r="J103" s="10">
        <f t="shared" si="3"/>
        <v>0</v>
      </c>
      <c r="K103" s="8">
        <v>0</v>
      </c>
      <c r="L103" s="5">
        <v>1130</v>
      </c>
      <c r="N103" s="5">
        <f>TabelaBaseTarefas[[#This Row],[Linha Banco de Dados]]+2</f>
        <v>1132</v>
      </c>
    </row>
    <row r="104" spans="1:14">
      <c r="A104" s="6">
        <v>164</v>
      </c>
      <c r="B104" s="5" t="s">
        <v>53</v>
      </c>
      <c r="C104" s="5" t="s">
        <v>281</v>
      </c>
      <c r="D104" s="5" t="s">
        <v>282</v>
      </c>
      <c r="E104" s="5" t="s">
        <v>283</v>
      </c>
      <c r="F104" s="7">
        <v>46267.677083333336</v>
      </c>
      <c r="G104" s="7">
        <v>46268.620138888888</v>
      </c>
      <c r="H104" s="8">
        <v>2656</v>
      </c>
      <c r="I104" s="9">
        <v>0</v>
      </c>
      <c r="J104" s="10">
        <f t="shared" si="3"/>
        <v>0</v>
      </c>
      <c r="K104" s="8">
        <v>0</v>
      </c>
      <c r="L104" s="5">
        <v>1134</v>
      </c>
      <c r="N104" s="5">
        <f>TabelaBaseTarefas[[#This Row],[Linha Banco de Dados]]+2</f>
        <v>1136</v>
      </c>
    </row>
    <row r="105" spans="1:14">
      <c r="A105" s="6">
        <v>165</v>
      </c>
      <c r="B105" s="5" t="s">
        <v>53</v>
      </c>
      <c r="C105" s="5" t="s">
        <v>281</v>
      </c>
      <c r="D105" s="5" t="s">
        <v>284</v>
      </c>
      <c r="E105" s="5" t="s">
        <v>285</v>
      </c>
      <c r="F105" s="7">
        <v>46268.620138888888</v>
      </c>
      <c r="G105" s="7">
        <v>46269.354861111111</v>
      </c>
      <c r="H105" s="8">
        <v>1056</v>
      </c>
      <c r="I105" s="9">
        <v>0</v>
      </c>
      <c r="J105" s="10">
        <f t="shared" si="3"/>
        <v>0</v>
      </c>
      <c r="K105" s="8">
        <v>0</v>
      </c>
      <c r="L105" s="5">
        <v>1139</v>
      </c>
      <c r="N105" s="5">
        <f>TabelaBaseTarefas[[#This Row],[Linha Banco de Dados]]+2</f>
        <v>1141</v>
      </c>
    </row>
    <row r="106" spans="1:14">
      <c r="A106" s="6">
        <v>166</v>
      </c>
      <c r="B106" s="5" t="s">
        <v>53</v>
      </c>
      <c r="C106" s="5" t="s">
        <v>281</v>
      </c>
      <c r="D106" s="5" t="s">
        <v>286</v>
      </c>
      <c r="E106" s="5" t="s">
        <v>287</v>
      </c>
      <c r="F106" s="7">
        <v>46269.354861111111</v>
      </c>
      <c r="G106" s="7">
        <v>46269.357638888891</v>
      </c>
      <c r="H106" s="8">
        <v>25.6</v>
      </c>
      <c r="I106" s="9">
        <v>0</v>
      </c>
      <c r="J106" s="10">
        <f t="shared" si="3"/>
        <v>0</v>
      </c>
      <c r="K106" s="8">
        <v>0</v>
      </c>
      <c r="L106" s="5">
        <v>1146</v>
      </c>
      <c r="N106" s="5">
        <f>TabelaBaseTarefas[[#This Row],[Linha Banco de Dados]]+2</f>
        <v>1148</v>
      </c>
    </row>
    <row r="107" spans="1:14">
      <c r="A107" s="6">
        <v>167</v>
      </c>
      <c r="B107" s="5" t="s">
        <v>53</v>
      </c>
      <c r="C107" s="5" t="s">
        <v>281</v>
      </c>
      <c r="D107" s="5" t="s">
        <v>288</v>
      </c>
      <c r="E107" s="5" t="s">
        <v>289</v>
      </c>
      <c r="F107" s="7">
        <v>46269.357638888891</v>
      </c>
      <c r="G107" s="7">
        <v>46269.431250000001</v>
      </c>
      <c r="H107" s="8">
        <v>704</v>
      </c>
      <c r="I107" s="9">
        <v>0</v>
      </c>
      <c r="J107" s="10">
        <f t="shared" si="3"/>
        <v>0</v>
      </c>
      <c r="K107" s="8">
        <v>0</v>
      </c>
      <c r="L107" s="5">
        <v>1149</v>
      </c>
      <c r="N107" s="5">
        <f>TabelaBaseTarefas[[#This Row],[Linha Banco de Dados]]+2</f>
        <v>1151</v>
      </c>
    </row>
    <row r="108" spans="1:14">
      <c r="A108" s="6">
        <v>168</v>
      </c>
      <c r="B108" s="5" t="s">
        <v>53</v>
      </c>
      <c r="C108" s="5" t="s">
        <v>290</v>
      </c>
      <c r="D108" s="5" t="s">
        <v>291</v>
      </c>
      <c r="E108" s="5" t="s">
        <v>292</v>
      </c>
      <c r="F108" s="7">
        <v>46269.431250000001</v>
      </c>
      <c r="G108" s="7">
        <v>46269.459722222222</v>
      </c>
      <c r="H108" s="8">
        <v>270.39999999999998</v>
      </c>
      <c r="I108" s="9">
        <v>0</v>
      </c>
      <c r="J108" s="10">
        <f t="shared" si="3"/>
        <v>0</v>
      </c>
      <c r="K108" s="8">
        <v>0</v>
      </c>
      <c r="L108" s="5">
        <v>1153</v>
      </c>
      <c r="N108" s="5">
        <f>TabelaBaseTarefas[[#This Row],[Linha Banco de Dados]]+2</f>
        <v>1155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4" sqref="A4"/>
    </sheetView>
  </sheetViews>
  <sheetFormatPr defaultRowHeight="13.9"/>
  <cols>
    <col min="1" max="1" width="34" customWidth="1"/>
    <col min="2" max="5" width="18" customWidth="1"/>
  </cols>
  <sheetData>
    <row r="1" spans="1:5" ht="19.149999999999999" customHeight="1">
      <c r="A1" s="26" t="s">
        <v>293</v>
      </c>
      <c r="B1" s="28"/>
      <c r="C1" s="28"/>
      <c r="D1" s="28"/>
      <c r="E1" s="28"/>
    </row>
    <row r="3" spans="1:5" ht="27.6">
      <c r="A3" s="1" t="s">
        <v>43</v>
      </c>
      <c r="B3" s="1" t="s">
        <v>294</v>
      </c>
      <c r="C3" s="1" t="s">
        <v>48</v>
      </c>
      <c r="D3" s="1" t="s">
        <v>49</v>
      </c>
      <c r="E3" s="1" t="s">
        <v>295</v>
      </c>
    </row>
    <row r="4" spans="1:5">
      <c r="A4" s="21" t="s">
        <v>53</v>
      </c>
      <c r="B4" s="21">
        <v>121</v>
      </c>
      <c r="C4" s="2">
        <v>131189.4</v>
      </c>
      <c r="D4" s="2">
        <v>0</v>
      </c>
      <c r="E4" s="3">
        <f>IF(C4=0,0,D4/C4)</f>
        <v>0</v>
      </c>
    </row>
    <row r="5" spans="1:5">
      <c r="A5" s="21" t="s">
        <v>296</v>
      </c>
      <c r="B5" s="21">
        <v>38</v>
      </c>
      <c r="C5" s="2">
        <v>36473.699999999997</v>
      </c>
      <c r="D5" s="2">
        <v>546</v>
      </c>
      <c r="E5" s="3">
        <f>IF(C5=0,0,D5/C5)</f>
        <v>1.4969690489311478E-2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/>
  <cp:revision/>
  <dcterms:created xsi:type="dcterms:W3CDTF">2026-09-23T15:28:00Z</dcterms:created>
  <dcterms:modified xsi:type="dcterms:W3CDTF">2026-10-13T13:28:34Z</dcterms:modified>
  <cp:category/>
  <cp:contentStatus/>
</cp:coreProperties>
</file>